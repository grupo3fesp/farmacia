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Estoque" sheetId="2" state="visible" r:id="rId4"/>
    <sheet name="Sinonimos" sheetId="3" state="visible" r:id="rId5"/>
    <sheet name="Unidades" sheetId="4" state="visible" r:id="rId6"/>
    <sheet name="Paine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<sst xmlns="http://schemas.openxmlformats.org/spreadsheetml/2006/main" count="766" uniqueCount="349">
  <si>
    <t xml:space="preserve">PROGRAMA APERFEIÇOANDO A GESTÃO PÚBLICA</t>
  </si>
  <si>
    <t xml:space="preserve">Assistente Virtual Inteligente – Farmácia Municipal</t>
  </si>
  <si>
    <t xml:space="preserve">BASE DE DADOS FICTÍCIA PARA PROTÓTIPO / PROVA DE CONCEITO</t>
  </si>
  <si>
    <t xml:space="preserve">AVISO IMPORTANTE</t>
  </si>
  <si>
    <t xml:space="preserve">Todos os quantitativos de estoque desta planilha são SIMULADOS e foram gerados apenas para</t>
  </si>
  <si>
    <t xml:space="preserve">demonstração do funcionamento do assistente virtual. Nenhum número aqui representa a posição</t>
  </si>
  <si>
    <t xml:space="preserve">real de estoque de qualquer farmácia municipal. Os nomes dos medicamentos e apresentações</t>
  </si>
  <si>
    <t xml:space="preserve">seguem a Relação Nacional de Medicamentos Essenciais (Rename) apenas para que a demonstração</t>
  </si>
  <si>
    <t xml:space="preserve">reconheça os termos que o cidadão realmente digitaria.</t>
  </si>
  <si>
    <t xml:space="preserve">COMO ESTA PLANILHA É USADA NO PROTÓTIPO</t>
  </si>
  <si>
    <t xml:space="preserve">Aba 'Estoque'      – base consultada pelo assistente. Uma linha por medicamento/apresentação.</t>
  </si>
  <si>
    <t xml:space="preserve">Aba 'Sinonimos'    – nomes comerciais, apelidos e erros de escrita mapeados para o código do item.</t>
  </si>
  <si>
    <t xml:space="preserve">Aba 'Unidades'     – unidades dispensadoras fictícias e seus horários.</t>
  </si>
  <si>
    <t xml:space="preserve">Aba 'Painel'       – indicadores automáticos da posição de estoque simulada.</t>
  </si>
  <si>
    <t xml:space="preserve">O QUE EDITAR PARA A DEMONSTRAÇÃO</t>
  </si>
  <si>
    <t xml:space="preserve">Edite apenas as colunas em AMARELO da aba 'Estoque': Estoque Atual, Estoque Mínimo e</t>
  </si>
  <si>
    <t xml:space="preserve">Última Atualização. As demais colunas são cadastro ou fórmula e não devem ser alteradas.</t>
  </si>
  <si>
    <t xml:space="preserve">A coluna 'Situação' é calculada automaticamente a partir do estoque atual e do estoque mínimo.</t>
  </si>
  <si>
    <t xml:space="preserve">Regra usada na coluna Situação:</t>
  </si>
  <si>
    <t xml:space="preserve">   Estoque Atual = 0                      -&gt; EM FALTA</t>
  </si>
  <si>
    <t xml:space="preserve">   Estoque Atual &lt;= Estoque Mínimo        -&gt; ESTOQUE BAIXO</t>
  </si>
  <si>
    <t xml:space="preserve">   Estoque Atual &gt; Estoque Mínimo         -&gt; DISPONIVEL</t>
  </si>
  <si>
    <t xml:space="preserve">Substituição pela base real: manter os mesmos nomes de coluna da aba 'Estoque' e apontar a</t>
  </si>
  <si>
    <t xml:space="preserve">integração para o sistema oficial de controle de estoque, sem alterar a lógica do assistente.</t>
  </si>
  <si>
    <t xml:space="preserve">Código</t>
  </si>
  <si>
    <t xml:space="preserve">Princípio Ativo</t>
  </si>
  <si>
    <t xml:space="preserve">Apresentação</t>
  </si>
  <si>
    <t xml:space="preserve">Forma Farmacêutica</t>
  </si>
  <si>
    <t xml:space="preserve">Componente</t>
  </si>
  <si>
    <t xml:space="preserve">Unidade de Medida</t>
  </si>
  <si>
    <t xml:space="preserve">Estoque Atual</t>
  </si>
  <si>
    <t xml:space="preserve">Estoque Mínimo</t>
  </si>
  <si>
    <t xml:space="preserve">Situação</t>
  </si>
  <si>
    <t xml:space="preserve">Última Atualização</t>
  </si>
  <si>
    <t xml:space="preserve">Tipo de Receita</t>
  </si>
  <si>
    <t xml:space="preserve">Unidade Dispensadora</t>
  </si>
  <si>
    <t xml:space="preserve">MED-001</t>
  </si>
  <si>
    <t xml:space="preserve">Dipirona sódica</t>
  </si>
  <si>
    <t xml:space="preserve">500 mg</t>
  </si>
  <si>
    <t xml:space="preserve">Comprimido</t>
  </si>
  <si>
    <t xml:space="preserve">Básico</t>
  </si>
  <si>
    <t xml:space="preserve">30/08/2026 07:00</t>
  </si>
  <si>
    <t xml:space="preserve">Receita simples</t>
  </si>
  <si>
    <t xml:space="preserve">Farmácia Municipal Central</t>
  </si>
  <si>
    <t xml:space="preserve">MED-002</t>
  </si>
  <si>
    <t xml:space="preserve">500 mg/mL solução oral 10 mL</t>
  </si>
  <si>
    <t xml:space="preserve">Solução oral</t>
  </si>
  <si>
    <t xml:space="preserve">Frasco</t>
  </si>
  <si>
    <t xml:space="preserve">MED-003</t>
  </si>
  <si>
    <t xml:space="preserve">Paracetamol</t>
  </si>
  <si>
    <t xml:space="preserve">MED-004</t>
  </si>
  <si>
    <t xml:space="preserve">200 mg/mL solução oral 15 mL</t>
  </si>
  <si>
    <t xml:space="preserve">MED-005</t>
  </si>
  <si>
    <t xml:space="preserve">Ibuprofeno</t>
  </si>
  <si>
    <t xml:space="preserve">300 mg</t>
  </si>
  <si>
    <t xml:space="preserve">MED-006</t>
  </si>
  <si>
    <t xml:space="preserve">Amoxicilina</t>
  </si>
  <si>
    <t xml:space="preserve">Cápsula</t>
  </si>
  <si>
    <t xml:space="preserve">Receita de antimicrobiano (2 vias)</t>
  </si>
  <si>
    <t xml:space="preserve">MED-007</t>
  </si>
  <si>
    <t xml:space="preserve">50 mg/mL pó para suspensão oral 60 mL</t>
  </si>
  <si>
    <t xml:space="preserve">Suspensão oral</t>
  </si>
  <si>
    <t xml:space="preserve">MED-008</t>
  </si>
  <si>
    <t xml:space="preserve">Azitromicina</t>
  </si>
  <si>
    <t xml:space="preserve">MED-009</t>
  </si>
  <si>
    <t xml:space="preserve">Cefalexina</t>
  </si>
  <si>
    <t xml:space="preserve">MED-010</t>
  </si>
  <si>
    <t xml:space="preserve">Sulfametoxazol + Trimetoprima</t>
  </si>
  <si>
    <t xml:space="preserve">400 mg + 80 mg</t>
  </si>
  <si>
    <t xml:space="preserve">MED-011</t>
  </si>
  <si>
    <t xml:space="preserve">Metronidazol</t>
  </si>
  <si>
    <t xml:space="preserve">250 mg</t>
  </si>
  <si>
    <t xml:space="preserve">MED-012</t>
  </si>
  <si>
    <t xml:space="preserve">Fluconazol</t>
  </si>
  <si>
    <t xml:space="preserve">150 mg</t>
  </si>
  <si>
    <t xml:space="preserve">MED-013</t>
  </si>
  <si>
    <t xml:space="preserve">Metformina</t>
  </si>
  <si>
    <t xml:space="preserve">850 mg</t>
  </si>
  <si>
    <t xml:space="preserve">MED-014</t>
  </si>
  <si>
    <t xml:space="preserve">Glibenclamida</t>
  </si>
  <si>
    <t xml:space="preserve">5 mg</t>
  </si>
  <si>
    <t xml:space="preserve">MED-015</t>
  </si>
  <si>
    <t xml:space="preserve">Insulina NPH humana</t>
  </si>
  <si>
    <t xml:space="preserve">100 UI/mL frasco 10 mL</t>
  </si>
  <si>
    <t xml:space="preserve">Suspensão injetável</t>
  </si>
  <si>
    <t xml:space="preserve">Receita simples (rede de frio)</t>
  </si>
  <si>
    <t xml:space="preserve">MED-016</t>
  </si>
  <si>
    <t xml:space="preserve">Insulina regular humana</t>
  </si>
  <si>
    <t xml:space="preserve">Solução injetável</t>
  </si>
  <si>
    <t xml:space="preserve">MED-017</t>
  </si>
  <si>
    <t xml:space="preserve">Losartana potássica</t>
  </si>
  <si>
    <t xml:space="preserve">50 mg</t>
  </si>
  <si>
    <t xml:space="preserve">MED-018</t>
  </si>
  <si>
    <t xml:space="preserve">Enalapril maleato</t>
  </si>
  <si>
    <t xml:space="preserve">10 mg</t>
  </si>
  <si>
    <t xml:space="preserve">MED-019</t>
  </si>
  <si>
    <t xml:space="preserve">Captopril</t>
  </si>
  <si>
    <t xml:space="preserve">25 mg</t>
  </si>
  <si>
    <t xml:space="preserve">MED-020</t>
  </si>
  <si>
    <t xml:space="preserve">Hidroclorotiazida</t>
  </si>
  <si>
    <t xml:space="preserve">MED-021</t>
  </si>
  <si>
    <t xml:space="preserve">Anlodipino besilato</t>
  </si>
  <si>
    <t xml:space="preserve">MED-022</t>
  </si>
  <si>
    <t xml:space="preserve">Atenolol</t>
  </si>
  <si>
    <t xml:space="preserve">MED-023</t>
  </si>
  <si>
    <t xml:space="preserve">Propranolol cloridrato</t>
  </si>
  <si>
    <t xml:space="preserve">40 mg</t>
  </si>
  <si>
    <t xml:space="preserve">MED-024</t>
  </si>
  <si>
    <t xml:space="preserve">Sinvastatina</t>
  </si>
  <si>
    <t xml:space="preserve">20 mg</t>
  </si>
  <si>
    <t xml:space="preserve">MED-025</t>
  </si>
  <si>
    <t xml:space="preserve">Ácido acetilsalicílico</t>
  </si>
  <si>
    <t xml:space="preserve">100 mg</t>
  </si>
  <si>
    <t xml:space="preserve">MED-026</t>
  </si>
  <si>
    <t xml:space="preserve">Omeprazol</t>
  </si>
  <si>
    <t xml:space="preserve">MED-027</t>
  </si>
  <si>
    <t xml:space="preserve">Metoclopramida cloridrato</t>
  </si>
  <si>
    <t xml:space="preserve">MED-028</t>
  </si>
  <si>
    <t xml:space="preserve">Prednisona</t>
  </si>
  <si>
    <t xml:space="preserve">MED-029</t>
  </si>
  <si>
    <t xml:space="preserve">Prednisolona fosfato sódico</t>
  </si>
  <si>
    <t xml:space="preserve">3 mg/mL solução oral 60 mL</t>
  </si>
  <si>
    <t xml:space="preserve">MED-030</t>
  </si>
  <si>
    <t xml:space="preserve">Dexametasona</t>
  </si>
  <si>
    <t xml:space="preserve">0,1% creme 10 g</t>
  </si>
  <si>
    <t xml:space="preserve">Creme dermatológico</t>
  </si>
  <si>
    <t xml:space="preserve">Bisnaga</t>
  </si>
  <si>
    <t xml:space="preserve">MED-031</t>
  </si>
  <si>
    <t xml:space="preserve">Loratadina</t>
  </si>
  <si>
    <t xml:space="preserve">MED-032</t>
  </si>
  <si>
    <t xml:space="preserve">Salbutamol sulfato</t>
  </si>
  <si>
    <t xml:space="preserve">100 mcg/dose aerossol</t>
  </si>
  <si>
    <t xml:space="preserve">Aerossol oral</t>
  </si>
  <si>
    <t xml:space="preserve">MED-033</t>
  </si>
  <si>
    <t xml:space="preserve">Beclometasona dipropionato</t>
  </si>
  <si>
    <t xml:space="preserve">250 mcg/dose aerossol</t>
  </si>
  <si>
    <t xml:space="preserve">MED-034</t>
  </si>
  <si>
    <t xml:space="preserve">Albendazol</t>
  </si>
  <si>
    <t xml:space="preserve">400 mg</t>
  </si>
  <si>
    <t xml:space="preserve">Comprimido mastigável</t>
  </si>
  <si>
    <t xml:space="preserve">MED-035</t>
  </si>
  <si>
    <t xml:space="preserve">Ivermectina</t>
  </si>
  <si>
    <t xml:space="preserve">6 mg</t>
  </si>
  <si>
    <t xml:space="preserve">MED-036</t>
  </si>
  <si>
    <t xml:space="preserve">Levotiroxina sódica</t>
  </si>
  <si>
    <t xml:space="preserve">50 mcg</t>
  </si>
  <si>
    <t xml:space="preserve">MED-037</t>
  </si>
  <si>
    <t xml:space="preserve">Sulfato ferroso</t>
  </si>
  <si>
    <t xml:space="preserve">40 mg de ferro elementar</t>
  </si>
  <si>
    <t xml:space="preserve">MED-038</t>
  </si>
  <si>
    <t xml:space="preserve">Ácido fólico</t>
  </si>
  <si>
    <t xml:space="preserve">MED-039</t>
  </si>
  <si>
    <t xml:space="preserve">Sais para reidratação oral</t>
  </si>
  <si>
    <t xml:space="preserve">envelope 27,9 g</t>
  </si>
  <si>
    <t xml:space="preserve">Pó para solução oral</t>
  </si>
  <si>
    <t xml:space="preserve">Estratégico</t>
  </si>
  <si>
    <t xml:space="preserve">Envelope</t>
  </si>
  <si>
    <t xml:space="preserve">Não exige receita</t>
  </si>
  <si>
    <t xml:space="preserve">MED-040</t>
  </si>
  <si>
    <t xml:space="preserve">Nistatina</t>
  </si>
  <si>
    <t xml:space="preserve">100.000 UI/mL suspensão oral 50 mL</t>
  </si>
  <si>
    <t xml:space="preserve">MED-041</t>
  </si>
  <si>
    <t xml:space="preserve">Permetrina</t>
  </si>
  <si>
    <t xml:space="preserve">5% loção 60 mL</t>
  </si>
  <si>
    <t xml:space="preserve">Loção</t>
  </si>
  <si>
    <t xml:space="preserve">MED-042</t>
  </si>
  <si>
    <t xml:space="preserve">Etinilestradiol + Levonorgestrel</t>
  </si>
  <si>
    <t xml:space="preserve">0,03 mg + 0,15 mg</t>
  </si>
  <si>
    <t xml:space="preserve">Cartela</t>
  </si>
  <si>
    <t xml:space="preserve">MED-043</t>
  </si>
  <si>
    <t xml:space="preserve">Amitriptilina cloridrato</t>
  </si>
  <si>
    <t xml:space="preserve">Receita de controle especial (C1)</t>
  </si>
  <si>
    <t xml:space="preserve">MED-044</t>
  </si>
  <si>
    <t xml:space="preserve">Fluoxetina cloridrato</t>
  </si>
  <si>
    <t xml:space="preserve">MED-045</t>
  </si>
  <si>
    <t xml:space="preserve">Carbamazepina</t>
  </si>
  <si>
    <t xml:space="preserve">200 mg</t>
  </si>
  <si>
    <t xml:space="preserve">MED-046</t>
  </si>
  <si>
    <t xml:space="preserve">Clonazepam</t>
  </si>
  <si>
    <t xml:space="preserve">2 mg</t>
  </si>
  <si>
    <t xml:space="preserve">Notificação de receita B (azul)</t>
  </si>
  <si>
    <t xml:space="preserve">MED-047</t>
  </si>
  <si>
    <t xml:space="preserve">Diazepam</t>
  </si>
  <si>
    <t xml:space="preserve">MED-048</t>
  </si>
  <si>
    <t xml:space="preserve">Fenitoína sódica</t>
  </si>
  <si>
    <t xml:space="preserve">Quantitativos fictícios, gerados para demonstração do protótipo. Não representam estoque real. Colunas em amarelo são de preenchimento manual; 'Situação' é calculada por fórmula.</t>
  </si>
  <si>
    <t xml:space="preserve">Termo Digitado pelo Cidadão</t>
  </si>
  <si>
    <t xml:space="preserve">Princípio Ativo Correspondente</t>
  </si>
  <si>
    <t xml:space="preserve">Situação Atual</t>
  </si>
  <si>
    <t xml:space="preserve">dipirona</t>
  </si>
  <si>
    <t xml:space="preserve">novalgina</t>
  </si>
  <si>
    <t xml:space="preserve">anador</t>
  </si>
  <si>
    <t xml:space="preserve">dipirona sodica</t>
  </si>
  <si>
    <t xml:space="preserve">dipirona comprimido</t>
  </si>
  <si>
    <t xml:space="preserve">dipirona 500</t>
  </si>
  <si>
    <t xml:space="preserve">dipirona gotas</t>
  </si>
  <si>
    <t xml:space="preserve">novalgina gotas</t>
  </si>
  <si>
    <t xml:space="preserve">dipirona liquida</t>
  </si>
  <si>
    <t xml:space="preserve">paracetamol</t>
  </si>
  <si>
    <t xml:space="preserve">tylenol</t>
  </si>
  <si>
    <t xml:space="preserve">paracetamol 500</t>
  </si>
  <si>
    <t xml:space="preserve">paracetamol gotas</t>
  </si>
  <si>
    <t xml:space="preserve">tylenol bebe</t>
  </si>
  <si>
    <t xml:space="preserve">ibuprofeno</t>
  </si>
  <si>
    <t xml:space="preserve">alivium</t>
  </si>
  <si>
    <t xml:space="preserve">advil</t>
  </si>
  <si>
    <t xml:space="preserve">ibuprofeno 300</t>
  </si>
  <si>
    <t xml:space="preserve">amoxicilina</t>
  </si>
  <si>
    <t xml:space="preserve">amoxilina</t>
  </si>
  <si>
    <t xml:space="preserve">amoxil</t>
  </si>
  <si>
    <t xml:space="preserve">amoxicilina suspensao</t>
  </si>
  <si>
    <t xml:space="preserve">amoxicilina infantil</t>
  </si>
  <si>
    <t xml:space="preserve">amoxicilina xarope</t>
  </si>
  <si>
    <t xml:space="preserve">azitromicina</t>
  </si>
  <si>
    <t xml:space="preserve">zitromax</t>
  </si>
  <si>
    <t xml:space="preserve">azitromicina 500</t>
  </si>
  <si>
    <t xml:space="preserve">cefalexina</t>
  </si>
  <si>
    <t xml:space="preserve">keflex</t>
  </si>
  <si>
    <t xml:space="preserve">bactrim</t>
  </si>
  <si>
    <t xml:space="preserve">sulfametoxazol</t>
  </si>
  <si>
    <t xml:space="preserve">sulfa</t>
  </si>
  <si>
    <t xml:space="preserve">smz tmp</t>
  </si>
  <si>
    <t xml:space="preserve">metronidazol</t>
  </si>
  <si>
    <t xml:space="preserve">flagyl</t>
  </si>
  <si>
    <t xml:space="preserve">fluconazol</t>
  </si>
  <si>
    <t xml:space="preserve">zoltec</t>
  </si>
  <si>
    <t xml:space="preserve">metformina</t>
  </si>
  <si>
    <t xml:space="preserve">glifage</t>
  </si>
  <si>
    <t xml:space="preserve">metiformina</t>
  </si>
  <si>
    <t xml:space="preserve">remedio de diabetes</t>
  </si>
  <si>
    <t xml:space="preserve">glibenclamida</t>
  </si>
  <si>
    <t xml:space="preserve">daonil</t>
  </si>
  <si>
    <t xml:space="preserve">insulina nph</t>
  </si>
  <si>
    <t xml:space="preserve">insulina</t>
  </si>
  <si>
    <t xml:space="preserve">insulina lenta</t>
  </si>
  <si>
    <t xml:space="preserve">insulina regular</t>
  </si>
  <si>
    <t xml:space="preserve">insulina rapida</t>
  </si>
  <si>
    <t xml:space="preserve">losartana</t>
  </si>
  <si>
    <t xml:space="preserve">losartan</t>
  </si>
  <si>
    <t xml:space="preserve">losartana 50</t>
  </si>
  <si>
    <t xml:space="preserve">remedio de pressao</t>
  </si>
  <si>
    <t xml:space="preserve">enalapril</t>
  </si>
  <si>
    <t xml:space="preserve">renitec</t>
  </si>
  <si>
    <t xml:space="preserve">captopril</t>
  </si>
  <si>
    <t xml:space="preserve">capoten</t>
  </si>
  <si>
    <t xml:space="preserve">hidroclorotiazida</t>
  </si>
  <si>
    <t xml:space="preserve">clorana</t>
  </si>
  <si>
    <t xml:space="preserve">hidroclorotiazida 25</t>
  </si>
  <si>
    <t xml:space="preserve">anlodipino</t>
  </si>
  <si>
    <t xml:space="preserve">amlodipina</t>
  </si>
  <si>
    <t xml:space="preserve">norvasc</t>
  </si>
  <si>
    <t xml:space="preserve">atenolol</t>
  </si>
  <si>
    <t xml:space="preserve">atenol</t>
  </si>
  <si>
    <t xml:space="preserve">propranolol</t>
  </si>
  <si>
    <t xml:space="preserve">inderal</t>
  </si>
  <si>
    <t xml:space="preserve">sinvastatina</t>
  </si>
  <si>
    <t xml:space="preserve">simvastatina</t>
  </si>
  <si>
    <t xml:space="preserve">remedio de colesterol</t>
  </si>
  <si>
    <t xml:space="preserve">aas</t>
  </si>
  <si>
    <t xml:space="preserve">aspirina</t>
  </si>
  <si>
    <t xml:space="preserve">acido acetilsalicilico</t>
  </si>
  <si>
    <t xml:space="preserve">aas infantil</t>
  </si>
  <si>
    <t xml:space="preserve">omeprazol</t>
  </si>
  <si>
    <t xml:space="preserve">omeprasol</t>
  </si>
  <si>
    <t xml:space="preserve">remedio de gastrite</t>
  </si>
  <si>
    <t xml:space="preserve">metoclopramida</t>
  </si>
  <si>
    <t xml:space="preserve">plasil</t>
  </si>
  <si>
    <t xml:space="preserve">prednisona</t>
  </si>
  <si>
    <t xml:space="preserve">meticorten</t>
  </si>
  <si>
    <t xml:space="preserve">prednisolona</t>
  </si>
  <si>
    <t xml:space="preserve">predsim</t>
  </si>
  <si>
    <t xml:space="preserve">corticoide infantil</t>
  </si>
  <si>
    <t xml:space="preserve">dexametasona creme</t>
  </si>
  <si>
    <t xml:space="preserve">pomada de dexametasona</t>
  </si>
  <si>
    <t xml:space="preserve">loratadina</t>
  </si>
  <si>
    <t xml:space="preserve">claritin</t>
  </si>
  <si>
    <t xml:space="preserve">remedio de alergia</t>
  </si>
  <si>
    <t xml:space="preserve">salbutamol</t>
  </si>
  <si>
    <t xml:space="preserve">aerolin</t>
  </si>
  <si>
    <t xml:space="preserve">bombinha</t>
  </si>
  <si>
    <t xml:space="preserve">beclometasona</t>
  </si>
  <si>
    <t xml:space="preserve">clenil</t>
  </si>
  <si>
    <t xml:space="preserve">albendazol</t>
  </si>
  <si>
    <t xml:space="preserve">zentel</t>
  </si>
  <si>
    <t xml:space="preserve">remedio de verme</t>
  </si>
  <si>
    <t xml:space="preserve">ivermectina</t>
  </si>
  <si>
    <t xml:space="preserve">revectina</t>
  </si>
  <si>
    <t xml:space="preserve">levotiroxina</t>
  </si>
  <si>
    <t xml:space="preserve">puran t4</t>
  </si>
  <si>
    <t xml:space="preserve">euthyrox</t>
  </si>
  <si>
    <t xml:space="preserve">remedio de tireoide</t>
  </si>
  <si>
    <t xml:space="preserve">sulfato ferroso</t>
  </si>
  <si>
    <t xml:space="preserve">ferro</t>
  </si>
  <si>
    <t xml:space="preserve">remedio de anemia</t>
  </si>
  <si>
    <t xml:space="preserve">acido folico</t>
  </si>
  <si>
    <t xml:space="preserve">folico</t>
  </si>
  <si>
    <t xml:space="preserve">soro de reidratacao</t>
  </si>
  <si>
    <t xml:space="preserve">sro</t>
  </si>
  <si>
    <t xml:space="preserve">sal de reidratacao</t>
  </si>
  <si>
    <t xml:space="preserve">nistatina</t>
  </si>
  <si>
    <t xml:space="preserve">micostatin</t>
  </si>
  <si>
    <t xml:space="preserve">permetrina</t>
  </si>
  <si>
    <t xml:space="preserve">remedio de piolho</t>
  </si>
  <si>
    <t xml:space="preserve">nedax</t>
  </si>
  <si>
    <t xml:space="preserve">anticoncepcional</t>
  </si>
  <si>
    <t xml:space="preserve">ciclo 21</t>
  </si>
  <si>
    <t xml:space="preserve">microvlar</t>
  </si>
  <si>
    <t xml:space="preserve">pilula</t>
  </si>
  <si>
    <t xml:space="preserve">amitriptilina</t>
  </si>
  <si>
    <t xml:space="preserve">amytril</t>
  </si>
  <si>
    <t xml:space="preserve">fluoxetina</t>
  </si>
  <si>
    <t xml:space="preserve">prozac</t>
  </si>
  <si>
    <t xml:space="preserve">carbamazepina</t>
  </si>
  <si>
    <t xml:space="preserve">tegretol</t>
  </si>
  <si>
    <t xml:space="preserve">clonazepam</t>
  </si>
  <si>
    <t xml:space="preserve">rivotril</t>
  </si>
  <si>
    <t xml:space="preserve">diazepam</t>
  </si>
  <si>
    <t xml:space="preserve">valium</t>
  </si>
  <si>
    <t xml:space="preserve">fenitoina</t>
  </si>
  <si>
    <t xml:space="preserve">hidantal</t>
  </si>
  <si>
    <t xml:space="preserve">Dicionário de termos. Permite que o assistente reconheça nomes comerciais, apelidos populares e erros de digitação e os relacione ao item de estoque correto.</t>
  </si>
  <si>
    <t xml:space="preserve">Unidade Dispensadora (fictícia)</t>
  </si>
  <si>
    <t xml:space="preserve">Endereço (fictício)</t>
  </si>
  <si>
    <t xml:space="preserve">Horário de Atendimento</t>
  </si>
  <si>
    <t xml:space="preserve">Telefone (fictício)</t>
  </si>
  <si>
    <t xml:space="preserve">UN-01</t>
  </si>
  <si>
    <t xml:space="preserve">Rua das Flores, 100 - Centro</t>
  </si>
  <si>
    <t xml:space="preserve">Segunda a sexta, 7h às 17h</t>
  </si>
  <si>
    <t xml:space="preserve">(00) 0000-0001</t>
  </si>
  <si>
    <t xml:space="preserve">UN-02</t>
  </si>
  <si>
    <t xml:space="preserve">Farmácia da UBS Bairro Novo</t>
  </si>
  <si>
    <t xml:space="preserve">Av. Principal, 500 - Bairro Novo</t>
  </si>
  <si>
    <t xml:space="preserve">Segunda a sexta, 7h às 16h</t>
  </si>
  <si>
    <t xml:space="preserve">(00) 0000-0002</t>
  </si>
  <si>
    <t xml:space="preserve">UN-03</t>
  </si>
  <si>
    <t xml:space="preserve">Farmácia da UBS Vila Esperança</t>
  </si>
  <si>
    <t xml:space="preserve">Rua São João, 25 - Vila Esperança</t>
  </si>
  <si>
    <t xml:space="preserve">Segunda a sexta, 8h às 16h</t>
  </si>
  <si>
    <t xml:space="preserve">(00) 0000-0003</t>
  </si>
  <si>
    <t xml:space="preserve">Unidades, endereços e telefones fictícios, criados apenas para a demonstração.</t>
  </si>
  <si>
    <t xml:space="preserve">Painel da Base Simulada</t>
  </si>
  <si>
    <t xml:space="preserve">Total de itens cadastrados</t>
  </si>
  <si>
    <t xml:space="preserve">Itens disponíveis</t>
  </si>
  <si>
    <t xml:space="preserve">Itens com estoque baixo</t>
  </si>
  <si>
    <t xml:space="preserve">Itens em falta</t>
  </si>
  <si>
    <t xml:space="preserve">Percentual de itens em falta</t>
  </si>
  <si>
    <t xml:space="preserve">Termos no dicionário de sinônimos</t>
  </si>
  <si>
    <t xml:space="preserve">Média de termos por medicamento</t>
  </si>
  <si>
    <t xml:space="preserve">Todos os indicadores derivam da base fictícia da aba 'Estoque'.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</si>
</sst>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5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4" t="s">
        <v>12</v>
      </c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4"/>
    </row>
    <row r="18" customFormat="false" ht="15" hidden="false" customHeight="false" outlineLevel="0" collapsed="false">
      <c r="A18" s="5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4" t="s">
        <v>17</v>
      </c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4" t="s">
        <v>19</v>
      </c>
    </row>
    <row r="25" customFormat="false" ht="15" hidden="false" customHeight="false" outlineLevel="0" collapsed="false">
      <c r="A25" s="4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4"/>
    </row>
    <row r="28" customFormat="false" ht="15" hidden="false" customHeight="false" outlineLevel="0" collapsed="false">
      <c r="A28" s="4" t="s">
        <v>22</v>
      </c>
    </row>
    <row r="29" customFormat="false" ht="15" hidden="false" customHeight="false" outlineLevel="0" collapsed="false">
      <c r="A29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32"/>
    <col collapsed="false" customWidth="true" hidden="false" outlineLevel="0" max="12" min="12" style="0" width="26"/>
  </cols>
  <sheetData>
    <row r="1" customFormat="false" ht="23.85" hidden="false" customHeight="false" outlineLevel="0" collapsed="false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</row>
    <row r="2" customFormat="false" ht="15" hidden="false" customHeight="false" outlineLevel="0" collapsed="false">
      <c r="A2" s="7" t="s">
        <v>36</v>
      </c>
      <c r="B2" s="8" t="s">
        <v>37</v>
      </c>
      <c r="C2" s="8" t="s">
        <v>38</v>
      </c>
      <c r="D2" s="8" t="s">
        <v>39</v>
      </c>
      <c r="E2" s="8" t="s">
        <v>40</v>
      </c>
      <c r="F2" s="8" t="s">
        <v>39</v>
      </c>
      <c r="G2" s="9" t="n">
        <v>4820</v>
      </c>
      <c r="H2" s="9" t="n">
        <v>800</v>
      </c>
      <c r="I2" s="7" t="str">
        <f aca="false">IF(G2=0,"EM FALTA",IF(G2&lt;=H2,"ESTOQUE BAIXO","DISPONIVEL"))</f>
        <v>DISPONIVEL</v>
      </c>
      <c r="J2" s="7" t="s">
        <v>41</v>
      </c>
      <c r="K2" s="8" t="s">
        <v>42</v>
      </c>
      <c r="L2" s="8" t="s">
        <v>43</v>
      </c>
    </row>
    <row r="3" customFormat="false" ht="15" hidden="false" customHeight="false" outlineLevel="0" collapsed="false">
      <c r="A3" s="7" t="s">
        <v>44</v>
      </c>
      <c r="B3" s="8" t="s">
        <v>37</v>
      </c>
      <c r="C3" s="8" t="s">
        <v>45</v>
      </c>
      <c r="D3" s="8" t="s">
        <v>46</v>
      </c>
      <c r="E3" s="8" t="s">
        <v>40</v>
      </c>
      <c r="F3" s="8" t="s">
        <v>47</v>
      </c>
      <c r="G3" s="9" t="n">
        <v>0</v>
      </c>
      <c r="H3" s="9" t="n">
        <v>60</v>
      </c>
      <c r="I3" s="7" t="str">
        <f aca="false">IF(G3=0,"EM FALTA",IF(G3&lt;=H3,"ESTOQUE BAIXO","DISPONIVEL"))</f>
        <v>EM FALTA</v>
      </c>
      <c r="J3" s="7" t="s">
        <v>41</v>
      </c>
      <c r="K3" s="8" t="s">
        <v>42</v>
      </c>
      <c r="L3" s="8" t="s">
        <v>43</v>
      </c>
    </row>
    <row r="4" customFormat="false" ht="15" hidden="false" customHeight="false" outlineLevel="0" collapsed="false">
      <c r="A4" s="7" t="s">
        <v>48</v>
      </c>
      <c r="B4" s="8" t="s">
        <v>49</v>
      </c>
      <c r="C4" s="8" t="s">
        <v>38</v>
      </c>
      <c r="D4" s="8" t="s">
        <v>39</v>
      </c>
      <c r="E4" s="8" t="s">
        <v>40</v>
      </c>
      <c r="F4" s="8" t="s">
        <v>39</v>
      </c>
      <c r="G4" s="9" t="n">
        <v>3150</v>
      </c>
      <c r="H4" s="9" t="n">
        <v>700</v>
      </c>
      <c r="I4" s="7" t="str">
        <f aca="false">IF(G4=0,"EM FALTA",IF(G4&lt;=H4,"ESTOQUE BAIXO","DISPONIVEL"))</f>
        <v>DISPONIVEL</v>
      </c>
      <c r="J4" s="7" t="s">
        <v>41</v>
      </c>
      <c r="K4" s="8" t="s">
        <v>42</v>
      </c>
      <c r="L4" s="8" t="s">
        <v>43</v>
      </c>
    </row>
    <row r="5" customFormat="false" ht="15" hidden="false" customHeight="false" outlineLevel="0" collapsed="false">
      <c r="A5" s="7" t="s">
        <v>50</v>
      </c>
      <c r="B5" s="8" t="s">
        <v>49</v>
      </c>
      <c r="C5" s="8" t="s">
        <v>51</v>
      </c>
      <c r="D5" s="8" t="s">
        <v>46</v>
      </c>
      <c r="E5" s="8" t="s">
        <v>40</v>
      </c>
      <c r="F5" s="8" t="s">
        <v>47</v>
      </c>
      <c r="G5" s="9" t="n">
        <v>42</v>
      </c>
      <c r="H5" s="9" t="n">
        <v>50</v>
      </c>
      <c r="I5" s="7" t="str">
        <f aca="false">IF(G5=0,"EM FALTA",IF(G5&lt;=H5,"ESTOQUE BAIXO","DISPONIVEL"))</f>
        <v>ESTOQUE BAIXO</v>
      </c>
      <c r="J5" s="7" t="s">
        <v>41</v>
      </c>
      <c r="K5" s="8" t="s">
        <v>42</v>
      </c>
      <c r="L5" s="8" t="s">
        <v>43</v>
      </c>
    </row>
    <row r="6" customFormat="false" ht="15" hidden="false" customHeight="false" outlineLevel="0" collapsed="false">
      <c r="A6" s="7" t="s">
        <v>52</v>
      </c>
      <c r="B6" s="8" t="s">
        <v>53</v>
      </c>
      <c r="C6" s="8" t="s">
        <v>54</v>
      </c>
      <c r="D6" s="8" t="s">
        <v>39</v>
      </c>
      <c r="E6" s="8" t="s">
        <v>40</v>
      </c>
      <c r="F6" s="8" t="s">
        <v>39</v>
      </c>
      <c r="G6" s="9" t="n">
        <v>1240</v>
      </c>
      <c r="H6" s="9" t="n">
        <v>400</v>
      </c>
      <c r="I6" s="7" t="str">
        <f aca="false">IF(G6=0,"EM FALTA",IF(G6&lt;=H6,"ESTOQUE BAIXO","DISPONIVEL"))</f>
        <v>DISPONIVEL</v>
      </c>
      <c r="J6" s="7" t="s">
        <v>41</v>
      </c>
      <c r="K6" s="8" t="s">
        <v>42</v>
      </c>
      <c r="L6" s="8" t="s">
        <v>43</v>
      </c>
    </row>
    <row r="7" customFormat="false" ht="15" hidden="false" customHeight="false" outlineLevel="0" collapsed="false">
      <c r="A7" s="7" t="s">
        <v>55</v>
      </c>
      <c r="B7" s="8" t="s">
        <v>56</v>
      </c>
      <c r="C7" s="8" t="s">
        <v>38</v>
      </c>
      <c r="D7" s="8" t="s">
        <v>57</v>
      </c>
      <c r="E7" s="8" t="s">
        <v>40</v>
      </c>
      <c r="F7" s="8" t="s">
        <v>57</v>
      </c>
      <c r="G7" s="9" t="n">
        <v>2600</v>
      </c>
      <c r="H7" s="9" t="n">
        <v>600</v>
      </c>
      <c r="I7" s="7" t="str">
        <f aca="false">IF(G7=0,"EM FALTA",IF(G7&lt;=H7,"ESTOQUE BAIXO","DISPONIVEL"))</f>
        <v>DISPONIVEL</v>
      </c>
      <c r="J7" s="7" t="s">
        <v>41</v>
      </c>
      <c r="K7" s="8" t="s">
        <v>58</v>
      </c>
      <c r="L7" s="8" t="s">
        <v>43</v>
      </c>
    </row>
    <row r="8" customFormat="false" ht="15" hidden="false" customHeight="false" outlineLevel="0" collapsed="false">
      <c r="A8" s="7" t="s">
        <v>59</v>
      </c>
      <c r="B8" s="8" t="s">
        <v>56</v>
      </c>
      <c r="C8" s="8" t="s">
        <v>60</v>
      </c>
      <c r="D8" s="8" t="s">
        <v>61</v>
      </c>
      <c r="E8" s="8" t="s">
        <v>40</v>
      </c>
      <c r="F8" s="8" t="s">
        <v>47</v>
      </c>
      <c r="G8" s="9" t="n">
        <v>18</v>
      </c>
      <c r="H8" s="9" t="n">
        <v>30</v>
      </c>
      <c r="I8" s="7" t="str">
        <f aca="false">IF(G8=0,"EM FALTA",IF(G8&lt;=H8,"ESTOQUE BAIXO","DISPONIVEL"))</f>
        <v>ESTOQUE BAIXO</v>
      </c>
      <c r="J8" s="7" t="s">
        <v>41</v>
      </c>
      <c r="K8" s="8" t="s">
        <v>58</v>
      </c>
      <c r="L8" s="8" t="s">
        <v>43</v>
      </c>
    </row>
    <row r="9" customFormat="false" ht="15" hidden="false" customHeight="false" outlineLevel="0" collapsed="false">
      <c r="A9" s="7" t="s">
        <v>62</v>
      </c>
      <c r="B9" s="8" t="s">
        <v>63</v>
      </c>
      <c r="C9" s="8" t="s">
        <v>38</v>
      </c>
      <c r="D9" s="8" t="s">
        <v>39</v>
      </c>
      <c r="E9" s="8" t="s">
        <v>40</v>
      </c>
      <c r="F9" s="8" t="s">
        <v>39</v>
      </c>
      <c r="G9" s="9" t="n">
        <v>0</v>
      </c>
      <c r="H9" s="9" t="n">
        <v>200</v>
      </c>
      <c r="I9" s="7" t="str">
        <f aca="false">IF(G9=0,"EM FALTA",IF(G9&lt;=H9,"ESTOQUE BAIXO","DISPONIVEL"))</f>
        <v>EM FALTA</v>
      </c>
      <c r="J9" s="7" t="s">
        <v>41</v>
      </c>
      <c r="K9" s="8" t="s">
        <v>58</v>
      </c>
      <c r="L9" s="8" t="s">
        <v>43</v>
      </c>
    </row>
    <row r="10" customFormat="false" ht="15" hidden="false" customHeight="false" outlineLevel="0" collapsed="false">
      <c r="A10" s="7" t="s">
        <v>64</v>
      </c>
      <c r="B10" s="8" t="s">
        <v>65</v>
      </c>
      <c r="C10" s="8" t="s">
        <v>38</v>
      </c>
      <c r="D10" s="8" t="s">
        <v>57</v>
      </c>
      <c r="E10" s="8" t="s">
        <v>40</v>
      </c>
      <c r="F10" s="8" t="s">
        <v>57</v>
      </c>
      <c r="G10" s="9" t="n">
        <v>940</v>
      </c>
      <c r="H10" s="9" t="n">
        <v>250</v>
      </c>
      <c r="I10" s="7" t="str">
        <f aca="false">IF(G10=0,"EM FALTA",IF(G10&lt;=H10,"ESTOQUE BAIXO","DISPONIVEL"))</f>
        <v>DISPONIVEL</v>
      </c>
      <c r="J10" s="7" t="s">
        <v>41</v>
      </c>
      <c r="K10" s="8" t="s">
        <v>58</v>
      </c>
      <c r="L10" s="8" t="s">
        <v>43</v>
      </c>
    </row>
    <row r="11" customFormat="false" ht="15" hidden="false" customHeight="false" outlineLevel="0" collapsed="false">
      <c r="A11" s="7" t="s">
        <v>66</v>
      </c>
      <c r="B11" s="8" t="s">
        <v>67</v>
      </c>
      <c r="C11" s="8" t="s">
        <v>68</v>
      </c>
      <c r="D11" s="8" t="s">
        <v>39</v>
      </c>
      <c r="E11" s="8" t="s">
        <v>40</v>
      </c>
      <c r="F11" s="8" t="s">
        <v>39</v>
      </c>
      <c r="G11" s="9" t="n">
        <v>1180</v>
      </c>
      <c r="H11" s="9" t="n">
        <v>300</v>
      </c>
      <c r="I11" s="7" t="str">
        <f aca="false">IF(G11=0,"EM FALTA",IF(G11&lt;=H11,"ESTOQUE BAIXO","DISPONIVEL"))</f>
        <v>DISPONIVEL</v>
      </c>
      <c r="J11" s="7" t="s">
        <v>41</v>
      </c>
      <c r="K11" s="8" t="s">
        <v>58</v>
      </c>
      <c r="L11" s="8" t="s">
        <v>43</v>
      </c>
    </row>
    <row r="12" customFormat="false" ht="15" hidden="false" customHeight="false" outlineLevel="0" collapsed="false">
      <c r="A12" s="7" t="s">
        <v>69</v>
      </c>
      <c r="B12" s="8" t="s">
        <v>70</v>
      </c>
      <c r="C12" s="8" t="s">
        <v>71</v>
      </c>
      <c r="D12" s="8" t="s">
        <v>39</v>
      </c>
      <c r="E12" s="8" t="s">
        <v>40</v>
      </c>
      <c r="F12" s="8" t="s">
        <v>39</v>
      </c>
      <c r="G12" s="9" t="n">
        <v>760</v>
      </c>
      <c r="H12" s="9" t="n">
        <v>200</v>
      </c>
      <c r="I12" s="7" t="str">
        <f aca="false">IF(G12=0,"EM FALTA",IF(G12&lt;=H12,"ESTOQUE BAIXO","DISPONIVEL"))</f>
        <v>DISPONIVEL</v>
      </c>
      <c r="J12" s="7" t="s">
        <v>41</v>
      </c>
      <c r="K12" s="8" t="s">
        <v>58</v>
      </c>
      <c r="L12" s="8" t="s">
        <v>43</v>
      </c>
    </row>
    <row r="13" customFormat="false" ht="15" hidden="false" customHeight="false" outlineLevel="0" collapsed="false">
      <c r="A13" s="7" t="s">
        <v>72</v>
      </c>
      <c r="B13" s="8" t="s">
        <v>73</v>
      </c>
      <c r="C13" s="8" t="s">
        <v>74</v>
      </c>
      <c r="D13" s="8" t="s">
        <v>57</v>
      </c>
      <c r="E13" s="8" t="s">
        <v>40</v>
      </c>
      <c r="F13" s="8" t="s">
        <v>57</v>
      </c>
      <c r="G13" s="9" t="n">
        <v>210</v>
      </c>
      <c r="H13" s="9" t="n">
        <v>60</v>
      </c>
      <c r="I13" s="7" t="str">
        <f aca="false">IF(G13=0,"EM FALTA",IF(G13&lt;=H13,"ESTOQUE BAIXO","DISPONIVEL"))</f>
        <v>DISPONIVEL</v>
      </c>
      <c r="J13" s="7" t="s">
        <v>41</v>
      </c>
      <c r="K13" s="8" t="s">
        <v>42</v>
      </c>
      <c r="L13" s="8" t="s">
        <v>43</v>
      </c>
    </row>
    <row r="14" customFormat="false" ht="15" hidden="false" customHeight="false" outlineLevel="0" collapsed="false">
      <c r="A14" s="7" t="s">
        <v>75</v>
      </c>
      <c r="B14" s="8" t="s">
        <v>76</v>
      </c>
      <c r="C14" s="8" t="s">
        <v>77</v>
      </c>
      <c r="D14" s="8" t="s">
        <v>39</v>
      </c>
      <c r="E14" s="8" t="s">
        <v>40</v>
      </c>
      <c r="F14" s="8" t="s">
        <v>39</v>
      </c>
      <c r="G14" s="9" t="n">
        <v>8600</v>
      </c>
      <c r="H14" s="9" t="n">
        <v>1500</v>
      </c>
      <c r="I14" s="7" t="str">
        <f aca="false">IF(G14=0,"EM FALTA",IF(G14&lt;=H14,"ESTOQUE BAIXO","DISPONIVEL"))</f>
        <v>DISPONIVEL</v>
      </c>
      <c r="J14" s="7" t="s">
        <v>41</v>
      </c>
      <c r="K14" s="8" t="s">
        <v>42</v>
      </c>
      <c r="L14" s="8" t="s">
        <v>43</v>
      </c>
    </row>
    <row r="15" customFormat="false" ht="15" hidden="false" customHeight="false" outlineLevel="0" collapsed="false">
      <c r="A15" s="7" t="s">
        <v>78</v>
      </c>
      <c r="B15" s="8" t="s">
        <v>79</v>
      </c>
      <c r="C15" s="8" t="s">
        <v>80</v>
      </c>
      <c r="D15" s="8" t="s">
        <v>39</v>
      </c>
      <c r="E15" s="8" t="s">
        <v>40</v>
      </c>
      <c r="F15" s="8" t="s">
        <v>39</v>
      </c>
      <c r="G15" s="9" t="n">
        <v>3400</v>
      </c>
      <c r="H15" s="9" t="n">
        <v>900</v>
      </c>
      <c r="I15" s="7" t="str">
        <f aca="false">IF(G15=0,"EM FALTA",IF(G15&lt;=H15,"ESTOQUE BAIXO","DISPONIVEL"))</f>
        <v>DISPONIVEL</v>
      </c>
      <c r="J15" s="7" t="s">
        <v>41</v>
      </c>
      <c r="K15" s="8" t="s">
        <v>42</v>
      </c>
      <c r="L15" s="8" t="s">
        <v>43</v>
      </c>
    </row>
    <row r="16" customFormat="false" ht="15" hidden="false" customHeight="false" outlineLevel="0" collapsed="false">
      <c r="A16" s="7" t="s">
        <v>81</v>
      </c>
      <c r="B16" s="8" t="s">
        <v>82</v>
      </c>
      <c r="C16" s="8" t="s">
        <v>83</v>
      </c>
      <c r="D16" s="8" t="s">
        <v>84</v>
      </c>
      <c r="E16" s="8" t="s">
        <v>40</v>
      </c>
      <c r="F16" s="8" t="s">
        <v>47</v>
      </c>
      <c r="G16" s="9" t="n">
        <v>96</v>
      </c>
      <c r="H16" s="9" t="n">
        <v>40</v>
      </c>
      <c r="I16" s="7" t="str">
        <f aca="false">IF(G16=0,"EM FALTA",IF(G16&lt;=H16,"ESTOQUE BAIXO","DISPONIVEL"))</f>
        <v>DISPONIVEL</v>
      </c>
      <c r="J16" s="7" t="s">
        <v>41</v>
      </c>
      <c r="K16" s="8" t="s">
        <v>85</v>
      </c>
      <c r="L16" s="8" t="s">
        <v>43</v>
      </c>
    </row>
    <row r="17" customFormat="false" ht="15" hidden="false" customHeight="false" outlineLevel="0" collapsed="false">
      <c r="A17" s="7" t="s">
        <v>86</v>
      </c>
      <c r="B17" s="8" t="s">
        <v>87</v>
      </c>
      <c r="C17" s="8" t="s">
        <v>83</v>
      </c>
      <c r="D17" s="8" t="s">
        <v>88</v>
      </c>
      <c r="E17" s="8" t="s">
        <v>40</v>
      </c>
      <c r="F17" s="8" t="s">
        <v>47</v>
      </c>
      <c r="G17" s="9" t="n">
        <v>31</v>
      </c>
      <c r="H17" s="9" t="n">
        <v>25</v>
      </c>
      <c r="I17" s="7" t="str">
        <f aca="false">IF(G17=0,"EM FALTA",IF(G17&lt;=H17,"ESTOQUE BAIXO","DISPONIVEL"))</f>
        <v>DISPONIVEL</v>
      </c>
      <c r="J17" s="7" t="s">
        <v>41</v>
      </c>
      <c r="K17" s="8" t="s">
        <v>85</v>
      </c>
      <c r="L17" s="8" t="s">
        <v>43</v>
      </c>
    </row>
    <row r="18" customFormat="false" ht="15" hidden="false" customHeight="false" outlineLevel="0" collapsed="false">
      <c r="A18" s="7" t="s">
        <v>89</v>
      </c>
      <c r="B18" s="8" t="s">
        <v>90</v>
      </c>
      <c r="C18" s="8" t="s">
        <v>91</v>
      </c>
      <c r="D18" s="8" t="s">
        <v>39</v>
      </c>
      <c r="E18" s="8" t="s">
        <v>40</v>
      </c>
      <c r="F18" s="8" t="s">
        <v>39</v>
      </c>
      <c r="G18" s="9" t="n">
        <v>12400</v>
      </c>
      <c r="H18" s="9" t="n">
        <v>2000</v>
      </c>
      <c r="I18" s="7" t="str">
        <f aca="false">IF(G18=0,"EM FALTA",IF(G18&lt;=H18,"ESTOQUE BAIXO","DISPONIVEL"))</f>
        <v>DISPONIVEL</v>
      </c>
      <c r="J18" s="7" t="s">
        <v>41</v>
      </c>
      <c r="K18" s="8" t="s">
        <v>42</v>
      </c>
      <c r="L18" s="8" t="s">
        <v>43</v>
      </c>
    </row>
    <row r="19" customFormat="false" ht="15" hidden="false" customHeight="false" outlineLevel="0" collapsed="false">
      <c r="A19" s="7" t="s">
        <v>92</v>
      </c>
      <c r="B19" s="8" t="s">
        <v>93</v>
      </c>
      <c r="C19" s="8" t="s">
        <v>94</v>
      </c>
      <c r="D19" s="8" t="s">
        <v>39</v>
      </c>
      <c r="E19" s="8" t="s">
        <v>40</v>
      </c>
      <c r="F19" s="8" t="s">
        <v>39</v>
      </c>
      <c r="G19" s="9" t="n">
        <v>5900</v>
      </c>
      <c r="H19" s="9" t="n">
        <v>1200</v>
      </c>
      <c r="I19" s="7" t="str">
        <f aca="false">IF(G19=0,"EM FALTA",IF(G19&lt;=H19,"ESTOQUE BAIXO","DISPONIVEL"))</f>
        <v>DISPONIVEL</v>
      </c>
      <c r="J19" s="7" t="s">
        <v>41</v>
      </c>
      <c r="K19" s="8" t="s">
        <v>42</v>
      </c>
      <c r="L19" s="8" t="s">
        <v>43</v>
      </c>
    </row>
    <row r="20" customFormat="false" ht="15" hidden="false" customHeight="false" outlineLevel="0" collapsed="false">
      <c r="A20" s="7" t="s">
        <v>95</v>
      </c>
      <c r="B20" s="8" t="s">
        <v>96</v>
      </c>
      <c r="C20" s="8" t="s">
        <v>97</v>
      </c>
      <c r="D20" s="8" t="s">
        <v>39</v>
      </c>
      <c r="E20" s="8" t="s">
        <v>40</v>
      </c>
      <c r="F20" s="8" t="s">
        <v>39</v>
      </c>
      <c r="G20" s="9" t="n">
        <v>2100</v>
      </c>
      <c r="H20" s="9" t="n">
        <v>800</v>
      </c>
      <c r="I20" s="7" t="str">
        <f aca="false">IF(G20=0,"EM FALTA",IF(G20&lt;=H20,"ESTOQUE BAIXO","DISPONIVEL"))</f>
        <v>DISPONIVEL</v>
      </c>
      <c r="J20" s="7" t="s">
        <v>41</v>
      </c>
      <c r="K20" s="8" t="s">
        <v>42</v>
      </c>
      <c r="L20" s="8" t="s">
        <v>43</v>
      </c>
    </row>
    <row r="21" customFormat="false" ht="15" hidden="false" customHeight="false" outlineLevel="0" collapsed="false">
      <c r="A21" s="7" t="s">
        <v>98</v>
      </c>
      <c r="B21" s="8" t="s">
        <v>99</v>
      </c>
      <c r="C21" s="8" t="s">
        <v>97</v>
      </c>
      <c r="D21" s="8" t="s">
        <v>39</v>
      </c>
      <c r="E21" s="8" t="s">
        <v>40</v>
      </c>
      <c r="F21" s="8" t="s">
        <v>39</v>
      </c>
      <c r="G21" s="9" t="n">
        <v>7300</v>
      </c>
      <c r="H21" s="9" t="n">
        <v>1200</v>
      </c>
      <c r="I21" s="7" t="str">
        <f aca="false">IF(G21=0,"EM FALTA",IF(G21&lt;=H21,"ESTOQUE BAIXO","DISPONIVEL"))</f>
        <v>DISPONIVEL</v>
      </c>
      <c r="J21" s="7" t="s">
        <v>41</v>
      </c>
      <c r="K21" s="8" t="s">
        <v>42</v>
      </c>
      <c r="L21" s="8" t="s">
        <v>43</v>
      </c>
    </row>
    <row r="22" customFormat="false" ht="15" hidden="false" customHeight="false" outlineLevel="0" collapsed="false">
      <c r="A22" s="7" t="s">
        <v>100</v>
      </c>
      <c r="B22" s="8" t="s">
        <v>101</v>
      </c>
      <c r="C22" s="8" t="s">
        <v>80</v>
      </c>
      <c r="D22" s="8" t="s">
        <v>39</v>
      </c>
      <c r="E22" s="8" t="s">
        <v>40</v>
      </c>
      <c r="F22" s="8" t="s">
        <v>39</v>
      </c>
      <c r="G22" s="9" t="n">
        <v>4100</v>
      </c>
      <c r="H22" s="9" t="n">
        <v>900</v>
      </c>
      <c r="I22" s="7" t="str">
        <f aca="false">IF(G22=0,"EM FALTA",IF(G22&lt;=H22,"ESTOQUE BAIXO","DISPONIVEL"))</f>
        <v>DISPONIVEL</v>
      </c>
      <c r="J22" s="7" t="s">
        <v>41</v>
      </c>
      <c r="K22" s="8" t="s">
        <v>42</v>
      </c>
      <c r="L22" s="8" t="s">
        <v>43</v>
      </c>
    </row>
    <row r="23" customFormat="false" ht="15" hidden="false" customHeight="false" outlineLevel="0" collapsed="false">
      <c r="A23" s="7" t="s">
        <v>102</v>
      </c>
      <c r="B23" s="8" t="s">
        <v>103</v>
      </c>
      <c r="C23" s="8" t="s">
        <v>91</v>
      </c>
      <c r="D23" s="8" t="s">
        <v>39</v>
      </c>
      <c r="E23" s="8" t="s">
        <v>40</v>
      </c>
      <c r="F23" s="8" t="s">
        <v>39</v>
      </c>
      <c r="G23" s="9" t="n">
        <v>880</v>
      </c>
      <c r="H23" s="9" t="n">
        <v>900</v>
      </c>
      <c r="I23" s="7" t="str">
        <f aca="false">IF(G23=0,"EM FALTA",IF(G23&lt;=H23,"ESTOQUE BAIXO","DISPONIVEL"))</f>
        <v>ESTOQUE BAIXO</v>
      </c>
      <c r="J23" s="7" t="s">
        <v>41</v>
      </c>
      <c r="K23" s="8" t="s">
        <v>42</v>
      </c>
      <c r="L23" s="8" t="s">
        <v>43</v>
      </c>
    </row>
    <row r="24" customFormat="false" ht="15" hidden="false" customHeight="false" outlineLevel="0" collapsed="false">
      <c r="A24" s="7" t="s">
        <v>104</v>
      </c>
      <c r="B24" s="8" t="s">
        <v>105</v>
      </c>
      <c r="C24" s="8" t="s">
        <v>106</v>
      </c>
      <c r="D24" s="8" t="s">
        <v>39</v>
      </c>
      <c r="E24" s="8" t="s">
        <v>40</v>
      </c>
      <c r="F24" s="8" t="s">
        <v>39</v>
      </c>
      <c r="G24" s="9" t="n">
        <v>2450</v>
      </c>
      <c r="H24" s="9" t="n">
        <v>600</v>
      </c>
      <c r="I24" s="7" t="str">
        <f aca="false">IF(G24=0,"EM FALTA",IF(G24&lt;=H24,"ESTOQUE BAIXO","DISPONIVEL"))</f>
        <v>DISPONIVEL</v>
      </c>
      <c r="J24" s="7" t="s">
        <v>41</v>
      </c>
      <c r="K24" s="8" t="s">
        <v>42</v>
      </c>
      <c r="L24" s="8" t="s">
        <v>43</v>
      </c>
    </row>
    <row r="25" customFormat="false" ht="15" hidden="false" customHeight="false" outlineLevel="0" collapsed="false">
      <c r="A25" s="7" t="s">
        <v>107</v>
      </c>
      <c r="B25" s="8" t="s">
        <v>108</v>
      </c>
      <c r="C25" s="8" t="s">
        <v>109</v>
      </c>
      <c r="D25" s="8" t="s">
        <v>39</v>
      </c>
      <c r="E25" s="8" t="s">
        <v>40</v>
      </c>
      <c r="F25" s="8" t="s">
        <v>39</v>
      </c>
      <c r="G25" s="9" t="n">
        <v>6800</v>
      </c>
      <c r="H25" s="9" t="n">
        <v>1500</v>
      </c>
      <c r="I25" s="7" t="str">
        <f aca="false">IF(G25=0,"EM FALTA",IF(G25&lt;=H25,"ESTOQUE BAIXO","DISPONIVEL"))</f>
        <v>DISPONIVEL</v>
      </c>
      <c r="J25" s="7" t="s">
        <v>41</v>
      </c>
      <c r="K25" s="8" t="s">
        <v>42</v>
      </c>
      <c r="L25" s="8" t="s">
        <v>43</v>
      </c>
    </row>
    <row r="26" customFormat="false" ht="15" hidden="false" customHeight="false" outlineLevel="0" collapsed="false">
      <c r="A26" s="7" t="s">
        <v>110</v>
      </c>
      <c r="B26" s="8" t="s">
        <v>111</v>
      </c>
      <c r="C26" s="8" t="s">
        <v>112</v>
      </c>
      <c r="D26" s="8" t="s">
        <v>39</v>
      </c>
      <c r="E26" s="8" t="s">
        <v>40</v>
      </c>
      <c r="F26" s="8" t="s">
        <v>39</v>
      </c>
      <c r="G26" s="9" t="n">
        <v>9200</v>
      </c>
      <c r="H26" s="9" t="n">
        <v>1500</v>
      </c>
      <c r="I26" s="7" t="str">
        <f aca="false">IF(G26=0,"EM FALTA",IF(G26&lt;=H26,"ESTOQUE BAIXO","DISPONIVEL"))</f>
        <v>DISPONIVEL</v>
      </c>
      <c r="J26" s="7" t="s">
        <v>41</v>
      </c>
      <c r="K26" s="8" t="s">
        <v>42</v>
      </c>
      <c r="L26" s="8" t="s">
        <v>43</v>
      </c>
    </row>
    <row r="27" customFormat="false" ht="15" hidden="false" customHeight="false" outlineLevel="0" collapsed="false">
      <c r="A27" s="7" t="s">
        <v>113</v>
      </c>
      <c r="B27" s="8" t="s">
        <v>114</v>
      </c>
      <c r="C27" s="8" t="s">
        <v>109</v>
      </c>
      <c r="D27" s="8" t="s">
        <v>57</v>
      </c>
      <c r="E27" s="8" t="s">
        <v>40</v>
      </c>
      <c r="F27" s="8" t="s">
        <v>57</v>
      </c>
      <c r="G27" s="9" t="n">
        <v>5400</v>
      </c>
      <c r="H27" s="9" t="n">
        <v>1000</v>
      </c>
      <c r="I27" s="7" t="str">
        <f aca="false">IF(G27=0,"EM FALTA",IF(G27&lt;=H27,"ESTOQUE BAIXO","DISPONIVEL"))</f>
        <v>DISPONIVEL</v>
      </c>
      <c r="J27" s="7" t="s">
        <v>41</v>
      </c>
      <c r="K27" s="8" t="s">
        <v>42</v>
      </c>
      <c r="L27" s="8" t="s">
        <v>43</v>
      </c>
    </row>
    <row r="28" customFormat="false" ht="15" hidden="false" customHeight="false" outlineLevel="0" collapsed="false">
      <c r="A28" s="7" t="s">
        <v>115</v>
      </c>
      <c r="B28" s="8" t="s">
        <v>116</v>
      </c>
      <c r="C28" s="8" t="s">
        <v>94</v>
      </c>
      <c r="D28" s="8" t="s">
        <v>39</v>
      </c>
      <c r="E28" s="8" t="s">
        <v>40</v>
      </c>
      <c r="F28" s="8" t="s">
        <v>39</v>
      </c>
      <c r="G28" s="9" t="n">
        <v>1320</v>
      </c>
      <c r="H28" s="9" t="n">
        <v>300</v>
      </c>
      <c r="I28" s="7" t="str">
        <f aca="false">IF(G28=0,"EM FALTA",IF(G28&lt;=H28,"ESTOQUE BAIXO","DISPONIVEL"))</f>
        <v>DISPONIVEL</v>
      </c>
      <c r="J28" s="7" t="s">
        <v>41</v>
      </c>
      <c r="K28" s="8" t="s">
        <v>42</v>
      </c>
      <c r="L28" s="8" t="s">
        <v>43</v>
      </c>
    </row>
    <row r="29" customFormat="false" ht="15" hidden="false" customHeight="false" outlineLevel="0" collapsed="false">
      <c r="A29" s="7" t="s">
        <v>117</v>
      </c>
      <c r="B29" s="8" t="s">
        <v>118</v>
      </c>
      <c r="C29" s="8" t="s">
        <v>109</v>
      </c>
      <c r="D29" s="8" t="s">
        <v>39</v>
      </c>
      <c r="E29" s="8" t="s">
        <v>40</v>
      </c>
      <c r="F29" s="8" t="s">
        <v>39</v>
      </c>
      <c r="G29" s="9" t="n">
        <v>640</v>
      </c>
      <c r="H29" s="9" t="n">
        <v>200</v>
      </c>
      <c r="I29" s="7" t="str">
        <f aca="false">IF(G29=0,"EM FALTA",IF(G29&lt;=H29,"ESTOQUE BAIXO","DISPONIVEL"))</f>
        <v>DISPONIVEL</v>
      </c>
      <c r="J29" s="7" t="s">
        <v>41</v>
      </c>
      <c r="K29" s="8" t="s">
        <v>42</v>
      </c>
      <c r="L29" s="8" t="s">
        <v>43</v>
      </c>
    </row>
    <row r="30" customFormat="false" ht="15" hidden="false" customHeight="false" outlineLevel="0" collapsed="false">
      <c r="A30" s="7" t="s">
        <v>119</v>
      </c>
      <c r="B30" s="8" t="s">
        <v>120</v>
      </c>
      <c r="C30" s="8" t="s">
        <v>121</v>
      </c>
      <c r="D30" s="8" t="s">
        <v>46</v>
      </c>
      <c r="E30" s="8" t="s">
        <v>40</v>
      </c>
      <c r="F30" s="8" t="s">
        <v>47</v>
      </c>
      <c r="G30" s="9" t="n">
        <v>0</v>
      </c>
      <c r="H30" s="9" t="n">
        <v>40</v>
      </c>
      <c r="I30" s="7" t="str">
        <f aca="false">IF(G30=0,"EM FALTA",IF(G30&lt;=H30,"ESTOQUE BAIXO","DISPONIVEL"))</f>
        <v>EM FALTA</v>
      </c>
      <c r="J30" s="7" t="s">
        <v>41</v>
      </c>
      <c r="K30" s="8" t="s">
        <v>42</v>
      </c>
      <c r="L30" s="8" t="s">
        <v>43</v>
      </c>
    </row>
    <row r="31" customFormat="false" ht="15" hidden="false" customHeight="false" outlineLevel="0" collapsed="false">
      <c r="A31" s="7" t="s">
        <v>122</v>
      </c>
      <c r="B31" s="8" t="s">
        <v>123</v>
      </c>
      <c r="C31" s="8" t="s">
        <v>124</v>
      </c>
      <c r="D31" s="8" t="s">
        <v>125</v>
      </c>
      <c r="E31" s="8" t="s">
        <v>40</v>
      </c>
      <c r="F31" s="8" t="s">
        <v>126</v>
      </c>
      <c r="G31" s="9" t="n">
        <v>155</v>
      </c>
      <c r="H31" s="9" t="n">
        <v>40</v>
      </c>
      <c r="I31" s="7" t="str">
        <f aca="false">IF(G31=0,"EM FALTA",IF(G31&lt;=H31,"ESTOQUE BAIXO","DISPONIVEL"))</f>
        <v>DISPONIVEL</v>
      </c>
      <c r="J31" s="7" t="s">
        <v>41</v>
      </c>
      <c r="K31" s="8" t="s">
        <v>42</v>
      </c>
      <c r="L31" s="8" t="s">
        <v>43</v>
      </c>
    </row>
    <row r="32" customFormat="false" ht="15" hidden="false" customHeight="false" outlineLevel="0" collapsed="false">
      <c r="A32" s="7" t="s">
        <v>127</v>
      </c>
      <c r="B32" s="8" t="s">
        <v>128</v>
      </c>
      <c r="C32" s="8" t="s">
        <v>94</v>
      </c>
      <c r="D32" s="8" t="s">
        <v>39</v>
      </c>
      <c r="E32" s="8" t="s">
        <v>40</v>
      </c>
      <c r="F32" s="8" t="s">
        <v>39</v>
      </c>
      <c r="G32" s="9" t="n">
        <v>2900</v>
      </c>
      <c r="H32" s="9" t="n">
        <v>500</v>
      </c>
      <c r="I32" s="7" t="str">
        <f aca="false">IF(G32=0,"EM FALTA",IF(G32&lt;=H32,"ESTOQUE BAIXO","DISPONIVEL"))</f>
        <v>DISPONIVEL</v>
      </c>
      <c r="J32" s="7" t="s">
        <v>41</v>
      </c>
      <c r="K32" s="8" t="s">
        <v>42</v>
      </c>
      <c r="L32" s="8" t="s">
        <v>43</v>
      </c>
    </row>
    <row r="33" customFormat="false" ht="15" hidden="false" customHeight="false" outlineLevel="0" collapsed="false">
      <c r="A33" s="7" t="s">
        <v>129</v>
      </c>
      <c r="B33" s="8" t="s">
        <v>130</v>
      </c>
      <c r="C33" s="8" t="s">
        <v>131</v>
      </c>
      <c r="D33" s="8" t="s">
        <v>132</v>
      </c>
      <c r="E33" s="8" t="s">
        <v>40</v>
      </c>
      <c r="F33" s="8" t="s">
        <v>47</v>
      </c>
      <c r="G33" s="9" t="n">
        <v>74</v>
      </c>
      <c r="H33" s="9" t="n">
        <v>60</v>
      </c>
      <c r="I33" s="7" t="str">
        <f aca="false">IF(G33=0,"EM FALTA",IF(G33&lt;=H33,"ESTOQUE BAIXO","DISPONIVEL"))</f>
        <v>DISPONIVEL</v>
      </c>
      <c r="J33" s="7" t="s">
        <v>41</v>
      </c>
      <c r="K33" s="8" t="s">
        <v>42</v>
      </c>
      <c r="L33" s="8" t="s">
        <v>43</v>
      </c>
    </row>
    <row r="34" customFormat="false" ht="15" hidden="false" customHeight="false" outlineLevel="0" collapsed="false">
      <c r="A34" s="7" t="s">
        <v>133</v>
      </c>
      <c r="B34" s="8" t="s">
        <v>134</v>
      </c>
      <c r="C34" s="8" t="s">
        <v>135</v>
      </c>
      <c r="D34" s="8" t="s">
        <v>132</v>
      </c>
      <c r="E34" s="8" t="s">
        <v>40</v>
      </c>
      <c r="F34" s="8" t="s">
        <v>47</v>
      </c>
      <c r="G34" s="9" t="n">
        <v>58</v>
      </c>
      <c r="H34" s="9" t="n">
        <v>30</v>
      </c>
      <c r="I34" s="7" t="str">
        <f aca="false">IF(G34=0,"EM FALTA",IF(G34&lt;=H34,"ESTOQUE BAIXO","DISPONIVEL"))</f>
        <v>DISPONIVEL</v>
      </c>
      <c r="J34" s="7" t="s">
        <v>41</v>
      </c>
      <c r="K34" s="8" t="s">
        <v>42</v>
      </c>
      <c r="L34" s="8" t="s">
        <v>43</v>
      </c>
    </row>
    <row r="35" customFormat="false" ht="15" hidden="false" customHeight="false" outlineLevel="0" collapsed="false">
      <c r="A35" s="7" t="s">
        <v>136</v>
      </c>
      <c r="B35" s="8" t="s">
        <v>137</v>
      </c>
      <c r="C35" s="8" t="s">
        <v>138</v>
      </c>
      <c r="D35" s="8" t="s">
        <v>139</v>
      </c>
      <c r="E35" s="8" t="s">
        <v>40</v>
      </c>
      <c r="F35" s="8" t="s">
        <v>39</v>
      </c>
      <c r="G35" s="9" t="n">
        <v>1450</v>
      </c>
      <c r="H35" s="9" t="n">
        <v>300</v>
      </c>
      <c r="I35" s="7" t="str">
        <f aca="false">IF(G35=0,"EM FALTA",IF(G35&lt;=H35,"ESTOQUE BAIXO","DISPONIVEL"))</f>
        <v>DISPONIVEL</v>
      </c>
      <c r="J35" s="7" t="s">
        <v>41</v>
      </c>
      <c r="K35" s="8" t="s">
        <v>42</v>
      </c>
      <c r="L35" s="8" t="s">
        <v>43</v>
      </c>
    </row>
    <row r="36" customFormat="false" ht="15" hidden="false" customHeight="false" outlineLevel="0" collapsed="false">
      <c r="A36" s="7" t="s">
        <v>140</v>
      </c>
      <c r="B36" s="8" t="s">
        <v>141</v>
      </c>
      <c r="C36" s="8" t="s">
        <v>142</v>
      </c>
      <c r="D36" s="8" t="s">
        <v>39</v>
      </c>
      <c r="E36" s="8" t="s">
        <v>40</v>
      </c>
      <c r="F36" s="8" t="s">
        <v>39</v>
      </c>
      <c r="G36" s="9" t="n">
        <v>0</v>
      </c>
      <c r="H36" s="9" t="n">
        <v>150</v>
      </c>
      <c r="I36" s="7" t="str">
        <f aca="false">IF(G36=0,"EM FALTA",IF(G36&lt;=H36,"ESTOQUE BAIXO","DISPONIVEL"))</f>
        <v>EM FALTA</v>
      </c>
      <c r="J36" s="7" t="s">
        <v>41</v>
      </c>
      <c r="K36" s="8" t="s">
        <v>42</v>
      </c>
      <c r="L36" s="8" t="s">
        <v>43</v>
      </c>
    </row>
    <row r="37" customFormat="false" ht="15" hidden="false" customHeight="false" outlineLevel="0" collapsed="false">
      <c r="A37" s="7" t="s">
        <v>143</v>
      </c>
      <c r="B37" s="8" t="s">
        <v>144</v>
      </c>
      <c r="C37" s="8" t="s">
        <v>145</v>
      </c>
      <c r="D37" s="8" t="s">
        <v>39</v>
      </c>
      <c r="E37" s="8" t="s">
        <v>40</v>
      </c>
      <c r="F37" s="8" t="s">
        <v>39</v>
      </c>
      <c r="G37" s="9" t="n">
        <v>6100</v>
      </c>
      <c r="H37" s="9" t="n">
        <v>1200</v>
      </c>
      <c r="I37" s="7" t="str">
        <f aca="false">IF(G37=0,"EM FALTA",IF(G37&lt;=H37,"ESTOQUE BAIXO","DISPONIVEL"))</f>
        <v>DISPONIVEL</v>
      </c>
      <c r="J37" s="7" t="s">
        <v>41</v>
      </c>
      <c r="K37" s="8" t="s">
        <v>42</v>
      </c>
      <c r="L37" s="8" t="s">
        <v>43</v>
      </c>
    </row>
    <row r="38" customFormat="false" ht="15" hidden="false" customHeight="false" outlineLevel="0" collapsed="false">
      <c r="A38" s="7" t="s">
        <v>146</v>
      </c>
      <c r="B38" s="8" t="s">
        <v>147</v>
      </c>
      <c r="C38" s="8" t="s">
        <v>148</v>
      </c>
      <c r="D38" s="8" t="s">
        <v>39</v>
      </c>
      <c r="E38" s="8" t="s">
        <v>40</v>
      </c>
      <c r="F38" s="8" t="s">
        <v>39</v>
      </c>
      <c r="G38" s="9" t="n">
        <v>8800</v>
      </c>
      <c r="H38" s="9" t="n">
        <v>1500</v>
      </c>
      <c r="I38" s="7" t="str">
        <f aca="false">IF(G38=0,"EM FALTA",IF(G38&lt;=H38,"ESTOQUE BAIXO","DISPONIVEL"))</f>
        <v>DISPONIVEL</v>
      </c>
      <c r="J38" s="7" t="s">
        <v>41</v>
      </c>
      <c r="K38" s="8" t="s">
        <v>42</v>
      </c>
      <c r="L38" s="8" t="s">
        <v>43</v>
      </c>
    </row>
    <row r="39" customFormat="false" ht="15" hidden="false" customHeight="false" outlineLevel="0" collapsed="false">
      <c r="A39" s="7" t="s">
        <v>149</v>
      </c>
      <c r="B39" s="8" t="s">
        <v>150</v>
      </c>
      <c r="C39" s="8" t="s">
        <v>80</v>
      </c>
      <c r="D39" s="8" t="s">
        <v>39</v>
      </c>
      <c r="E39" s="8" t="s">
        <v>40</v>
      </c>
      <c r="F39" s="8" t="s">
        <v>39</v>
      </c>
      <c r="G39" s="9" t="n">
        <v>5200</v>
      </c>
      <c r="H39" s="9" t="n">
        <v>1000</v>
      </c>
      <c r="I39" s="7" t="str">
        <f aca="false">IF(G39=0,"EM FALTA",IF(G39&lt;=H39,"ESTOQUE BAIXO","DISPONIVEL"))</f>
        <v>DISPONIVEL</v>
      </c>
      <c r="J39" s="7" t="s">
        <v>41</v>
      </c>
      <c r="K39" s="8" t="s">
        <v>42</v>
      </c>
      <c r="L39" s="8" t="s">
        <v>43</v>
      </c>
    </row>
    <row r="40" customFormat="false" ht="15" hidden="false" customHeight="false" outlineLevel="0" collapsed="false">
      <c r="A40" s="7" t="s">
        <v>151</v>
      </c>
      <c r="B40" s="8" t="s">
        <v>152</v>
      </c>
      <c r="C40" s="8" t="s">
        <v>153</v>
      </c>
      <c r="D40" s="8" t="s">
        <v>154</v>
      </c>
      <c r="E40" s="8" t="s">
        <v>155</v>
      </c>
      <c r="F40" s="8" t="s">
        <v>156</v>
      </c>
      <c r="G40" s="9" t="n">
        <v>620</v>
      </c>
      <c r="H40" s="9" t="n">
        <v>200</v>
      </c>
      <c r="I40" s="7" t="str">
        <f aca="false">IF(G40=0,"EM FALTA",IF(G40&lt;=H40,"ESTOQUE BAIXO","DISPONIVEL"))</f>
        <v>DISPONIVEL</v>
      </c>
      <c r="J40" s="7" t="s">
        <v>41</v>
      </c>
      <c r="K40" s="8" t="s">
        <v>157</v>
      </c>
      <c r="L40" s="8" t="s">
        <v>43</v>
      </c>
    </row>
    <row r="41" customFormat="false" ht="15" hidden="false" customHeight="false" outlineLevel="0" collapsed="false">
      <c r="A41" s="7" t="s">
        <v>158</v>
      </c>
      <c r="B41" s="8" t="s">
        <v>159</v>
      </c>
      <c r="C41" s="8" t="s">
        <v>160</v>
      </c>
      <c r="D41" s="8" t="s">
        <v>61</v>
      </c>
      <c r="E41" s="8" t="s">
        <v>40</v>
      </c>
      <c r="F41" s="8" t="s">
        <v>47</v>
      </c>
      <c r="G41" s="9" t="n">
        <v>27</v>
      </c>
      <c r="H41" s="9" t="n">
        <v>30</v>
      </c>
      <c r="I41" s="7" t="str">
        <f aca="false">IF(G41=0,"EM FALTA",IF(G41&lt;=H41,"ESTOQUE BAIXO","DISPONIVEL"))</f>
        <v>ESTOQUE BAIXO</v>
      </c>
      <c r="J41" s="7" t="s">
        <v>41</v>
      </c>
      <c r="K41" s="8" t="s">
        <v>42</v>
      </c>
      <c r="L41" s="8" t="s">
        <v>43</v>
      </c>
    </row>
    <row r="42" customFormat="false" ht="15" hidden="false" customHeight="false" outlineLevel="0" collapsed="false">
      <c r="A42" s="7" t="s">
        <v>161</v>
      </c>
      <c r="B42" s="8" t="s">
        <v>162</v>
      </c>
      <c r="C42" s="8" t="s">
        <v>163</v>
      </c>
      <c r="D42" s="8" t="s">
        <v>164</v>
      </c>
      <c r="E42" s="8" t="s">
        <v>40</v>
      </c>
      <c r="F42" s="8" t="s">
        <v>47</v>
      </c>
      <c r="G42" s="9" t="n">
        <v>88</v>
      </c>
      <c r="H42" s="9" t="n">
        <v>30</v>
      </c>
      <c r="I42" s="7" t="str">
        <f aca="false">IF(G42=0,"EM FALTA",IF(G42&lt;=H42,"ESTOQUE BAIXO","DISPONIVEL"))</f>
        <v>DISPONIVEL</v>
      </c>
      <c r="J42" s="7" t="s">
        <v>41</v>
      </c>
      <c r="K42" s="8" t="s">
        <v>42</v>
      </c>
      <c r="L42" s="8" t="s">
        <v>43</v>
      </c>
    </row>
    <row r="43" customFormat="false" ht="15" hidden="false" customHeight="false" outlineLevel="0" collapsed="false">
      <c r="A43" s="7" t="s">
        <v>165</v>
      </c>
      <c r="B43" s="8" t="s">
        <v>166</v>
      </c>
      <c r="C43" s="8" t="s">
        <v>167</v>
      </c>
      <c r="D43" s="8" t="s">
        <v>39</v>
      </c>
      <c r="E43" s="8" t="s">
        <v>40</v>
      </c>
      <c r="F43" s="8" t="s">
        <v>168</v>
      </c>
      <c r="G43" s="9" t="n">
        <v>430</v>
      </c>
      <c r="H43" s="9" t="n">
        <v>120</v>
      </c>
      <c r="I43" s="7" t="str">
        <f aca="false">IF(G43=0,"EM FALTA",IF(G43&lt;=H43,"ESTOQUE BAIXO","DISPONIVEL"))</f>
        <v>DISPONIVEL</v>
      </c>
      <c r="J43" s="7" t="s">
        <v>41</v>
      </c>
      <c r="K43" s="8" t="s">
        <v>42</v>
      </c>
      <c r="L43" s="8" t="s">
        <v>43</v>
      </c>
    </row>
    <row r="44" customFormat="false" ht="15" hidden="false" customHeight="false" outlineLevel="0" collapsed="false">
      <c r="A44" s="7" t="s">
        <v>169</v>
      </c>
      <c r="B44" s="8" t="s">
        <v>170</v>
      </c>
      <c r="C44" s="8" t="s">
        <v>97</v>
      </c>
      <c r="D44" s="8" t="s">
        <v>39</v>
      </c>
      <c r="E44" s="8" t="s">
        <v>40</v>
      </c>
      <c r="F44" s="8" t="s">
        <v>39</v>
      </c>
      <c r="G44" s="9" t="n">
        <v>2200</v>
      </c>
      <c r="H44" s="9" t="n">
        <v>500</v>
      </c>
      <c r="I44" s="7" t="str">
        <f aca="false">IF(G44=0,"EM FALTA",IF(G44&lt;=H44,"ESTOQUE BAIXO","DISPONIVEL"))</f>
        <v>DISPONIVEL</v>
      </c>
      <c r="J44" s="7" t="s">
        <v>41</v>
      </c>
      <c r="K44" s="8" t="s">
        <v>171</v>
      </c>
      <c r="L44" s="8" t="s">
        <v>43</v>
      </c>
    </row>
    <row r="45" customFormat="false" ht="15" hidden="false" customHeight="false" outlineLevel="0" collapsed="false">
      <c r="A45" s="7" t="s">
        <v>172</v>
      </c>
      <c r="B45" s="8" t="s">
        <v>173</v>
      </c>
      <c r="C45" s="8" t="s">
        <v>109</v>
      </c>
      <c r="D45" s="8" t="s">
        <v>57</v>
      </c>
      <c r="E45" s="8" t="s">
        <v>40</v>
      </c>
      <c r="F45" s="8" t="s">
        <v>57</v>
      </c>
      <c r="G45" s="9" t="n">
        <v>3600</v>
      </c>
      <c r="H45" s="9" t="n">
        <v>800</v>
      </c>
      <c r="I45" s="7" t="str">
        <f aca="false">IF(G45=0,"EM FALTA",IF(G45&lt;=H45,"ESTOQUE BAIXO","DISPONIVEL"))</f>
        <v>DISPONIVEL</v>
      </c>
      <c r="J45" s="7" t="s">
        <v>41</v>
      </c>
      <c r="K45" s="8" t="s">
        <v>171</v>
      </c>
      <c r="L45" s="8" t="s">
        <v>43</v>
      </c>
    </row>
    <row r="46" customFormat="false" ht="15" hidden="false" customHeight="false" outlineLevel="0" collapsed="false">
      <c r="A46" s="7" t="s">
        <v>174</v>
      </c>
      <c r="B46" s="8" t="s">
        <v>175</v>
      </c>
      <c r="C46" s="8" t="s">
        <v>176</v>
      </c>
      <c r="D46" s="8" t="s">
        <v>39</v>
      </c>
      <c r="E46" s="8" t="s">
        <v>40</v>
      </c>
      <c r="F46" s="8" t="s">
        <v>39</v>
      </c>
      <c r="G46" s="9" t="n">
        <v>1900</v>
      </c>
      <c r="H46" s="9" t="n">
        <v>500</v>
      </c>
      <c r="I46" s="7" t="str">
        <f aca="false">IF(G46=0,"EM FALTA",IF(G46&lt;=H46,"ESTOQUE BAIXO","DISPONIVEL"))</f>
        <v>DISPONIVEL</v>
      </c>
      <c r="J46" s="7" t="s">
        <v>41</v>
      </c>
      <c r="K46" s="8" t="s">
        <v>171</v>
      </c>
      <c r="L46" s="8" t="s">
        <v>43</v>
      </c>
    </row>
    <row r="47" customFormat="false" ht="15" hidden="false" customHeight="false" outlineLevel="0" collapsed="false">
      <c r="A47" s="7" t="s">
        <v>177</v>
      </c>
      <c r="B47" s="8" t="s">
        <v>178</v>
      </c>
      <c r="C47" s="8" t="s">
        <v>179</v>
      </c>
      <c r="D47" s="8" t="s">
        <v>39</v>
      </c>
      <c r="E47" s="8" t="s">
        <v>40</v>
      </c>
      <c r="F47" s="8" t="s">
        <v>39</v>
      </c>
      <c r="G47" s="9" t="n">
        <v>340</v>
      </c>
      <c r="H47" s="9" t="n">
        <v>400</v>
      </c>
      <c r="I47" s="7" t="str">
        <f aca="false">IF(G47=0,"EM FALTA",IF(G47&lt;=H47,"ESTOQUE BAIXO","DISPONIVEL"))</f>
        <v>ESTOQUE BAIXO</v>
      </c>
      <c r="J47" s="7" t="s">
        <v>41</v>
      </c>
      <c r="K47" s="8" t="s">
        <v>180</v>
      </c>
      <c r="L47" s="8" t="s">
        <v>43</v>
      </c>
    </row>
    <row r="48" customFormat="false" ht="15" hidden="false" customHeight="false" outlineLevel="0" collapsed="false">
      <c r="A48" s="7" t="s">
        <v>181</v>
      </c>
      <c r="B48" s="8" t="s">
        <v>182</v>
      </c>
      <c r="C48" s="8" t="s">
        <v>80</v>
      </c>
      <c r="D48" s="8" t="s">
        <v>39</v>
      </c>
      <c r="E48" s="8" t="s">
        <v>40</v>
      </c>
      <c r="F48" s="8" t="s">
        <v>39</v>
      </c>
      <c r="G48" s="9" t="n">
        <v>0</v>
      </c>
      <c r="H48" s="9" t="n">
        <v>300</v>
      </c>
      <c r="I48" s="7" t="str">
        <f aca="false">IF(G48=0,"EM FALTA",IF(G48&lt;=H48,"ESTOQUE BAIXO","DISPONIVEL"))</f>
        <v>EM FALTA</v>
      </c>
      <c r="J48" s="7" t="s">
        <v>41</v>
      </c>
      <c r="K48" s="8" t="s">
        <v>180</v>
      </c>
      <c r="L48" s="8" t="s">
        <v>43</v>
      </c>
    </row>
    <row r="49" customFormat="false" ht="15" hidden="false" customHeight="false" outlineLevel="0" collapsed="false">
      <c r="A49" s="7" t="s">
        <v>183</v>
      </c>
      <c r="B49" s="8" t="s">
        <v>184</v>
      </c>
      <c r="C49" s="8" t="s">
        <v>112</v>
      </c>
      <c r="D49" s="8" t="s">
        <v>39</v>
      </c>
      <c r="E49" s="8" t="s">
        <v>40</v>
      </c>
      <c r="F49" s="8" t="s">
        <v>39</v>
      </c>
      <c r="G49" s="9" t="n">
        <v>1100</v>
      </c>
      <c r="H49" s="9" t="n">
        <v>300</v>
      </c>
      <c r="I49" s="7" t="str">
        <f aca="false">IF(G49=0,"EM FALTA",IF(G49&lt;=H49,"ESTOQUE BAIXO","DISPONIVEL"))</f>
        <v>DISPONIVEL</v>
      </c>
      <c r="J49" s="7" t="s">
        <v>41</v>
      </c>
      <c r="K49" s="8" t="s">
        <v>171</v>
      </c>
      <c r="L49" s="8" t="s">
        <v>43</v>
      </c>
    </row>
    <row r="51" customFormat="false" ht="15" hidden="false" customHeight="false" outlineLevel="0" collapsed="false">
      <c r="A51" s="10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6" t="s">
        <v>24</v>
      </c>
      <c r="B1" s="6" t="s">
        <v>186</v>
      </c>
      <c r="C1" s="6" t="s">
        <v>187</v>
      </c>
      <c r="D1" s="6" t="s">
        <v>188</v>
      </c>
    </row>
    <row r="2" customFormat="false" ht="15" hidden="false" customHeight="false" outlineLevel="0" collapsed="false">
      <c r="A2" s="4" t="s">
        <v>36</v>
      </c>
      <c r="B2" s="4" t="s">
        <v>189</v>
      </c>
      <c r="C2" s="4" t="str">
        <f aca="false">IFERROR(INDEX(Estoque!$B$2:$B$49,MATCH($A2,Estoque!$A$2:$A$49,0)),"não encontrado")</f>
        <v>Dipirona sódica</v>
      </c>
      <c r="D2" s="4" t="str">
        <f aca="false">IFERROR(INDEX(Estoque!$I$2:$I$49,MATCH($A2,Estoque!$A$2:$A$49,0)),"não encontrado")</f>
        <v>DISPONIVEL</v>
      </c>
    </row>
    <row r="3" customFormat="false" ht="15" hidden="false" customHeight="false" outlineLevel="0" collapsed="false">
      <c r="A3" s="4" t="s">
        <v>36</v>
      </c>
      <c r="B3" s="4" t="s">
        <v>190</v>
      </c>
      <c r="C3" s="4" t="str">
        <f aca="false">IFERROR(INDEX(Estoque!$B$2:$B$49,MATCH($A3,Estoque!$A$2:$A$49,0)),"não encontrado")</f>
        <v>Dipirona sódica</v>
      </c>
      <c r="D3" s="4" t="str">
        <f aca="false">IFERROR(INDEX(Estoque!$I$2:$I$49,MATCH($A3,Estoque!$A$2:$A$49,0)),"não encontrado")</f>
        <v>DISPONIVEL</v>
      </c>
    </row>
    <row r="4" customFormat="false" ht="15" hidden="false" customHeight="false" outlineLevel="0" collapsed="false">
      <c r="A4" s="4" t="s">
        <v>36</v>
      </c>
      <c r="B4" s="4" t="s">
        <v>191</v>
      </c>
      <c r="C4" s="4" t="str">
        <f aca="false">IFERROR(INDEX(Estoque!$B$2:$B$49,MATCH($A4,Estoque!$A$2:$A$49,0)),"não encontrado")</f>
        <v>Dipirona sódica</v>
      </c>
      <c r="D4" s="4" t="str">
        <f aca="false">IFERROR(INDEX(Estoque!$I$2:$I$49,MATCH($A4,Estoque!$A$2:$A$49,0)),"não encontrado")</f>
        <v>DISPONIVEL</v>
      </c>
    </row>
    <row r="5" customFormat="false" ht="15" hidden="false" customHeight="false" outlineLevel="0" collapsed="false">
      <c r="A5" s="4" t="s">
        <v>36</v>
      </c>
      <c r="B5" s="4" t="s">
        <v>192</v>
      </c>
      <c r="C5" s="4" t="str">
        <f aca="false">IFERROR(INDEX(Estoque!$B$2:$B$49,MATCH($A5,Estoque!$A$2:$A$49,0)),"não encontrado")</f>
        <v>Dipirona sódica</v>
      </c>
      <c r="D5" s="4" t="str">
        <f aca="false">IFERROR(INDEX(Estoque!$I$2:$I$49,MATCH($A5,Estoque!$A$2:$A$49,0)),"não encontrado")</f>
        <v>DISPONIVEL</v>
      </c>
    </row>
    <row r="6" customFormat="false" ht="15" hidden="false" customHeight="false" outlineLevel="0" collapsed="false">
      <c r="A6" s="4" t="s">
        <v>36</v>
      </c>
      <c r="B6" s="4" t="s">
        <v>193</v>
      </c>
      <c r="C6" s="4" t="str">
        <f aca="false">IFERROR(INDEX(Estoque!$B$2:$B$49,MATCH($A6,Estoque!$A$2:$A$49,0)),"não encontrado")</f>
        <v>Dipirona sódica</v>
      </c>
      <c r="D6" s="4" t="str">
        <f aca="false">IFERROR(INDEX(Estoque!$I$2:$I$49,MATCH($A6,Estoque!$A$2:$A$49,0)),"não encontrado")</f>
        <v>DISPONIVEL</v>
      </c>
    </row>
    <row r="7" customFormat="false" ht="15" hidden="false" customHeight="false" outlineLevel="0" collapsed="false">
      <c r="A7" s="4" t="s">
        <v>36</v>
      </c>
      <c r="B7" s="4" t="s">
        <v>194</v>
      </c>
      <c r="C7" s="4" t="str">
        <f aca="false">IFERROR(INDEX(Estoque!$B$2:$B$49,MATCH($A7,Estoque!$A$2:$A$49,0)),"não encontrado")</f>
        <v>Dipirona sódica</v>
      </c>
      <c r="D7" s="4" t="str">
        <f aca="false">IFERROR(INDEX(Estoque!$I$2:$I$49,MATCH($A7,Estoque!$A$2:$A$49,0)),"não encontrado")</f>
        <v>DISPONIVEL</v>
      </c>
    </row>
    <row r="8" customFormat="false" ht="15" hidden="false" customHeight="false" outlineLevel="0" collapsed="false">
      <c r="A8" s="4" t="s">
        <v>44</v>
      </c>
      <c r="B8" s="4" t="s">
        <v>195</v>
      </c>
      <c r="C8" s="4" t="str">
        <f aca="false">IFERROR(INDEX(Estoque!$B$2:$B$49,MATCH($A8,Estoque!$A$2:$A$49,0)),"não encontrado")</f>
        <v>Dipirona sódica</v>
      </c>
      <c r="D8" s="4" t="str">
        <f aca="false">IFERROR(INDEX(Estoque!$I$2:$I$49,MATCH($A8,Estoque!$A$2:$A$49,0)),"não encontrado")</f>
        <v>EM FALTA</v>
      </c>
    </row>
    <row r="9" customFormat="false" ht="15" hidden="false" customHeight="false" outlineLevel="0" collapsed="false">
      <c r="A9" s="4" t="s">
        <v>44</v>
      </c>
      <c r="B9" s="4" t="s">
        <v>196</v>
      </c>
      <c r="C9" s="4" t="str">
        <f aca="false">IFERROR(INDEX(Estoque!$B$2:$B$49,MATCH($A9,Estoque!$A$2:$A$49,0)),"não encontrado")</f>
        <v>Dipirona sódica</v>
      </c>
      <c r="D9" s="4" t="str">
        <f aca="false">IFERROR(INDEX(Estoque!$I$2:$I$49,MATCH($A9,Estoque!$A$2:$A$49,0)),"não encontrado")</f>
        <v>EM FALTA</v>
      </c>
    </row>
    <row r="10" customFormat="false" ht="15" hidden="false" customHeight="false" outlineLevel="0" collapsed="false">
      <c r="A10" s="4" t="s">
        <v>44</v>
      </c>
      <c r="B10" s="4" t="s">
        <v>197</v>
      </c>
      <c r="C10" s="4" t="str">
        <f aca="false">IFERROR(INDEX(Estoque!$B$2:$B$49,MATCH($A10,Estoque!$A$2:$A$49,0)),"não encontrado")</f>
        <v>Dipirona sódica</v>
      </c>
      <c r="D10" s="4" t="str">
        <f aca="false">IFERROR(INDEX(Estoque!$I$2:$I$49,MATCH($A10,Estoque!$A$2:$A$49,0)),"não encontrado")</f>
        <v>EM FALTA</v>
      </c>
    </row>
    <row r="11" customFormat="false" ht="15" hidden="false" customHeight="false" outlineLevel="0" collapsed="false">
      <c r="A11" s="4" t="s">
        <v>48</v>
      </c>
      <c r="B11" s="4" t="s">
        <v>198</v>
      </c>
      <c r="C11" s="4" t="str">
        <f aca="false">IFERROR(INDEX(Estoque!$B$2:$B$49,MATCH($A11,Estoque!$A$2:$A$49,0)),"não encontrado")</f>
        <v>Paracetamol</v>
      </c>
      <c r="D11" s="4" t="str">
        <f aca="false">IFERROR(INDEX(Estoque!$I$2:$I$49,MATCH($A11,Estoque!$A$2:$A$49,0)),"não encontrado")</f>
        <v>DISPONIVEL</v>
      </c>
    </row>
    <row r="12" customFormat="false" ht="15" hidden="false" customHeight="false" outlineLevel="0" collapsed="false">
      <c r="A12" s="4" t="s">
        <v>48</v>
      </c>
      <c r="B12" s="4" t="s">
        <v>199</v>
      </c>
      <c r="C12" s="4" t="str">
        <f aca="false">IFERROR(INDEX(Estoque!$B$2:$B$49,MATCH($A12,Estoque!$A$2:$A$49,0)),"não encontrado")</f>
        <v>Paracetamol</v>
      </c>
      <c r="D12" s="4" t="str">
        <f aca="false">IFERROR(INDEX(Estoque!$I$2:$I$49,MATCH($A12,Estoque!$A$2:$A$49,0)),"não encontrado")</f>
        <v>DISPONIVEL</v>
      </c>
    </row>
    <row r="13" customFormat="false" ht="15" hidden="false" customHeight="false" outlineLevel="0" collapsed="false">
      <c r="A13" s="4" t="s">
        <v>48</v>
      </c>
      <c r="B13" s="4" t="s">
        <v>200</v>
      </c>
      <c r="C13" s="4" t="str">
        <f aca="false">IFERROR(INDEX(Estoque!$B$2:$B$49,MATCH($A13,Estoque!$A$2:$A$49,0)),"não encontrado")</f>
        <v>Paracetamol</v>
      </c>
      <c r="D13" s="4" t="str">
        <f aca="false">IFERROR(INDEX(Estoque!$I$2:$I$49,MATCH($A13,Estoque!$A$2:$A$49,0)),"não encontrado")</f>
        <v>DISPONIVEL</v>
      </c>
    </row>
    <row r="14" customFormat="false" ht="15" hidden="false" customHeight="false" outlineLevel="0" collapsed="false">
      <c r="A14" s="4" t="s">
        <v>50</v>
      </c>
      <c r="B14" s="4" t="s">
        <v>201</v>
      </c>
      <c r="C14" s="4" t="str">
        <f aca="false">IFERROR(INDEX(Estoque!$B$2:$B$49,MATCH($A14,Estoque!$A$2:$A$49,0)),"não encontrado")</f>
        <v>Paracetamol</v>
      </c>
      <c r="D14" s="4" t="str">
        <f aca="false">IFERROR(INDEX(Estoque!$I$2:$I$49,MATCH($A14,Estoque!$A$2:$A$49,0)),"não encontrado")</f>
        <v>ESTOQUE BAIXO</v>
      </c>
    </row>
    <row r="15" customFormat="false" ht="15" hidden="false" customHeight="false" outlineLevel="0" collapsed="false">
      <c r="A15" s="4" t="s">
        <v>50</v>
      </c>
      <c r="B15" s="4" t="s">
        <v>202</v>
      </c>
      <c r="C15" s="4" t="str">
        <f aca="false">IFERROR(INDEX(Estoque!$B$2:$B$49,MATCH($A15,Estoque!$A$2:$A$49,0)),"não encontrado")</f>
        <v>Paracetamol</v>
      </c>
      <c r="D15" s="4" t="str">
        <f aca="false">IFERROR(INDEX(Estoque!$I$2:$I$49,MATCH($A15,Estoque!$A$2:$A$49,0)),"não encontrado")</f>
        <v>ESTOQUE BAIXO</v>
      </c>
    </row>
    <row r="16" customFormat="false" ht="15" hidden="false" customHeight="false" outlineLevel="0" collapsed="false">
      <c r="A16" s="4" t="s">
        <v>52</v>
      </c>
      <c r="B16" s="4" t="s">
        <v>203</v>
      </c>
      <c r="C16" s="4" t="str">
        <f aca="false">IFERROR(INDEX(Estoque!$B$2:$B$49,MATCH($A16,Estoque!$A$2:$A$49,0)),"não encontrado")</f>
        <v>Ibuprofeno</v>
      </c>
      <c r="D16" s="4" t="str">
        <f aca="false">IFERROR(INDEX(Estoque!$I$2:$I$49,MATCH($A16,Estoque!$A$2:$A$49,0)),"não encontrado")</f>
        <v>DISPONIVEL</v>
      </c>
    </row>
    <row r="17" customFormat="false" ht="15" hidden="false" customHeight="false" outlineLevel="0" collapsed="false">
      <c r="A17" s="4" t="s">
        <v>52</v>
      </c>
      <c r="B17" s="4" t="s">
        <v>204</v>
      </c>
      <c r="C17" s="4" t="str">
        <f aca="false">IFERROR(INDEX(Estoque!$B$2:$B$49,MATCH($A17,Estoque!$A$2:$A$49,0)),"não encontrado")</f>
        <v>Ibuprofeno</v>
      </c>
      <c r="D17" s="4" t="str">
        <f aca="false">IFERROR(INDEX(Estoque!$I$2:$I$49,MATCH($A17,Estoque!$A$2:$A$49,0)),"não encontrado")</f>
        <v>DISPONIVEL</v>
      </c>
    </row>
    <row r="18" customFormat="false" ht="15" hidden="false" customHeight="false" outlineLevel="0" collapsed="false">
      <c r="A18" s="4" t="s">
        <v>52</v>
      </c>
      <c r="B18" s="4" t="s">
        <v>205</v>
      </c>
      <c r="C18" s="4" t="str">
        <f aca="false">IFERROR(INDEX(Estoque!$B$2:$B$49,MATCH($A18,Estoque!$A$2:$A$49,0)),"não encontrado")</f>
        <v>Ibuprofeno</v>
      </c>
      <c r="D18" s="4" t="str">
        <f aca="false">IFERROR(INDEX(Estoque!$I$2:$I$49,MATCH($A18,Estoque!$A$2:$A$49,0)),"não encontrado")</f>
        <v>DISPONIVEL</v>
      </c>
    </row>
    <row r="19" customFormat="false" ht="15" hidden="false" customHeight="false" outlineLevel="0" collapsed="false">
      <c r="A19" s="4" t="s">
        <v>52</v>
      </c>
      <c r="B19" s="4" t="s">
        <v>206</v>
      </c>
      <c r="C19" s="4" t="str">
        <f aca="false">IFERROR(INDEX(Estoque!$B$2:$B$49,MATCH($A19,Estoque!$A$2:$A$49,0)),"não encontrado")</f>
        <v>Ibuprofeno</v>
      </c>
      <c r="D19" s="4" t="str">
        <f aca="false">IFERROR(INDEX(Estoque!$I$2:$I$49,MATCH($A19,Estoque!$A$2:$A$49,0)),"não encontrado")</f>
        <v>DISPONIVEL</v>
      </c>
    </row>
    <row r="20" customFormat="false" ht="15" hidden="false" customHeight="false" outlineLevel="0" collapsed="false">
      <c r="A20" s="4" t="s">
        <v>55</v>
      </c>
      <c r="B20" s="4" t="s">
        <v>207</v>
      </c>
      <c r="C20" s="4" t="str">
        <f aca="false">IFERROR(INDEX(Estoque!$B$2:$B$49,MATCH($A20,Estoque!$A$2:$A$49,0)),"não encontrado")</f>
        <v>Amoxicilina</v>
      </c>
      <c r="D20" s="4" t="str">
        <f aca="false">IFERROR(INDEX(Estoque!$I$2:$I$49,MATCH($A20,Estoque!$A$2:$A$49,0)),"não encontrado")</f>
        <v>DISPONIVEL</v>
      </c>
    </row>
    <row r="21" customFormat="false" ht="15" hidden="false" customHeight="false" outlineLevel="0" collapsed="false">
      <c r="A21" s="4" t="s">
        <v>55</v>
      </c>
      <c r="B21" s="4" t="s">
        <v>208</v>
      </c>
      <c r="C21" s="4" t="str">
        <f aca="false">IFERROR(INDEX(Estoque!$B$2:$B$49,MATCH($A21,Estoque!$A$2:$A$49,0)),"não encontrado")</f>
        <v>Amoxicilina</v>
      </c>
      <c r="D21" s="4" t="str">
        <f aca="false">IFERROR(INDEX(Estoque!$I$2:$I$49,MATCH($A21,Estoque!$A$2:$A$49,0)),"não encontrado")</f>
        <v>DISPONIVEL</v>
      </c>
    </row>
    <row r="22" customFormat="false" ht="15" hidden="false" customHeight="false" outlineLevel="0" collapsed="false">
      <c r="A22" s="4" t="s">
        <v>55</v>
      </c>
      <c r="B22" s="4" t="s">
        <v>209</v>
      </c>
      <c r="C22" s="4" t="str">
        <f aca="false">IFERROR(INDEX(Estoque!$B$2:$B$49,MATCH($A22,Estoque!$A$2:$A$49,0)),"não encontrado")</f>
        <v>Amoxicilina</v>
      </c>
      <c r="D22" s="4" t="str">
        <f aca="false">IFERROR(INDEX(Estoque!$I$2:$I$49,MATCH($A22,Estoque!$A$2:$A$49,0)),"não encontrado")</f>
        <v>DISPONIVEL</v>
      </c>
    </row>
    <row r="23" customFormat="false" ht="15" hidden="false" customHeight="false" outlineLevel="0" collapsed="false">
      <c r="A23" s="4" t="s">
        <v>59</v>
      </c>
      <c r="B23" s="4" t="s">
        <v>210</v>
      </c>
      <c r="C23" s="4" t="str">
        <f aca="false">IFERROR(INDEX(Estoque!$B$2:$B$49,MATCH($A23,Estoque!$A$2:$A$49,0)),"não encontrado")</f>
        <v>Amoxicilina</v>
      </c>
      <c r="D23" s="4" t="str">
        <f aca="false">IFERROR(INDEX(Estoque!$I$2:$I$49,MATCH($A23,Estoque!$A$2:$A$49,0)),"não encontrado")</f>
        <v>ESTOQUE BAIXO</v>
      </c>
    </row>
    <row r="24" customFormat="false" ht="15" hidden="false" customHeight="false" outlineLevel="0" collapsed="false">
      <c r="A24" s="4" t="s">
        <v>59</v>
      </c>
      <c r="B24" s="4" t="s">
        <v>211</v>
      </c>
      <c r="C24" s="4" t="str">
        <f aca="false">IFERROR(INDEX(Estoque!$B$2:$B$49,MATCH($A24,Estoque!$A$2:$A$49,0)),"não encontrado")</f>
        <v>Amoxicilina</v>
      </c>
      <c r="D24" s="4" t="str">
        <f aca="false">IFERROR(INDEX(Estoque!$I$2:$I$49,MATCH($A24,Estoque!$A$2:$A$49,0)),"não encontrado")</f>
        <v>ESTOQUE BAIXO</v>
      </c>
    </row>
    <row r="25" customFormat="false" ht="15" hidden="false" customHeight="false" outlineLevel="0" collapsed="false">
      <c r="A25" s="4" t="s">
        <v>59</v>
      </c>
      <c r="B25" s="4" t="s">
        <v>212</v>
      </c>
      <c r="C25" s="4" t="str">
        <f aca="false">IFERROR(INDEX(Estoque!$B$2:$B$49,MATCH($A25,Estoque!$A$2:$A$49,0)),"não encontrado")</f>
        <v>Amoxicilina</v>
      </c>
      <c r="D25" s="4" t="str">
        <f aca="false">IFERROR(INDEX(Estoque!$I$2:$I$49,MATCH($A25,Estoque!$A$2:$A$49,0)),"não encontrado")</f>
        <v>ESTOQUE BAIXO</v>
      </c>
    </row>
    <row r="26" customFormat="false" ht="15" hidden="false" customHeight="false" outlineLevel="0" collapsed="false">
      <c r="A26" s="4" t="s">
        <v>62</v>
      </c>
      <c r="B26" s="4" t="s">
        <v>213</v>
      </c>
      <c r="C26" s="4" t="str">
        <f aca="false">IFERROR(INDEX(Estoque!$B$2:$B$49,MATCH($A26,Estoque!$A$2:$A$49,0)),"não encontrado")</f>
        <v>Azitromicina</v>
      </c>
      <c r="D26" s="4" t="str">
        <f aca="false">IFERROR(INDEX(Estoque!$I$2:$I$49,MATCH($A26,Estoque!$A$2:$A$49,0)),"não encontrado")</f>
        <v>EM FALTA</v>
      </c>
    </row>
    <row r="27" customFormat="false" ht="15" hidden="false" customHeight="false" outlineLevel="0" collapsed="false">
      <c r="A27" s="4" t="s">
        <v>62</v>
      </c>
      <c r="B27" s="4" t="s">
        <v>214</v>
      </c>
      <c r="C27" s="4" t="str">
        <f aca="false">IFERROR(INDEX(Estoque!$B$2:$B$49,MATCH($A27,Estoque!$A$2:$A$49,0)),"não encontrado")</f>
        <v>Azitromicina</v>
      </c>
      <c r="D27" s="4" t="str">
        <f aca="false">IFERROR(INDEX(Estoque!$I$2:$I$49,MATCH($A27,Estoque!$A$2:$A$49,0)),"não encontrado")</f>
        <v>EM FALTA</v>
      </c>
    </row>
    <row r="28" customFormat="false" ht="15" hidden="false" customHeight="false" outlineLevel="0" collapsed="false">
      <c r="A28" s="4" t="s">
        <v>62</v>
      </c>
      <c r="B28" s="4" t="s">
        <v>215</v>
      </c>
      <c r="C28" s="4" t="str">
        <f aca="false">IFERROR(INDEX(Estoque!$B$2:$B$49,MATCH($A28,Estoque!$A$2:$A$49,0)),"não encontrado")</f>
        <v>Azitromicina</v>
      </c>
      <c r="D28" s="4" t="str">
        <f aca="false">IFERROR(INDEX(Estoque!$I$2:$I$49,MATCH($A28,Estoque!$A$2:$A$49,0)),"não encontrado")</f>
        <v>EM FALTA</v>
      </c>
    </row>
    <row r="29" customFormat="false" ht="15" hidden="false" customHeight="false" outlineLevel="0" collapsed="false">
      <c r="A29" s="4" t="s">
        <v>64</v>
      </c>
      <c r="B29" s="4" t="s">
        <v>216</v>
      </c>
      <c r="C29" s="4" t="str">
        <f aca="false">IFERROR(INDEX(Estoque!$B$2:$B$49,MATCH($A29,Estoque!$A$2:$A$49,0)),"não encontrado")</f>
        <v>Cefalexina</v>
      </c>
      <c r="D29" s="4" t="str">
        <f aca="false">IFERROR(INDEX(Estoque!$I$2:$I$49,MATCH($A29,Estoque!$A$2:$A$49,0)),"não encontrado")</f>
        <v>DISPONIVEL</v>
      </c>
    </row>
    <row r="30" customFormat="false" ht="15" hidden="false" customHeight="false" outlineLevel="0" collapsed="false">
      <c r="A30" s="4" t="s">
        <v>64</v>
      </c>
      <c r="B30" s="4" t="s">
        <v>217</v>
      </c>
      <c r="C30" s="4" t="str">
        <f aca="false">IFERROR(INDEX(Estoque!$B$2:$B$49,MATCH($A30,Estoque!$A$2:$A$49,0)),"não encontrado")</f>
        <v>Cefalexina</v>
      </c>
      <c r="D30" s="4" t="str">
        <f aca="false">IFERROR(INDEX(Estoque!$I$2:$I$49,MATCH($A30,Estoque!$A$2:$A$49,0)),"não encontrado")</f>
        <v>DISPONIVEL</v>
      </c>
    </row>
    <row r="31" customFormat="false" ht="15" hidden="false" customHeight="false" outlineLevel="0" collapsed="false">
      <c r="A31" s="4" t="s">
        <v>66</v>
      </c>
      <c r="B31" s="4" t="s">
        <v>218</v>
      </c>
      <c r="C31" s="4" t="str">
        <f aca="false">IFERROR(INDEX(Estoque!$B$2:$B$49,MATCH($A31,Estoque!$A$2:$A$49,0)),"não encontrado")</f>
        <v>Sulfametoxazol + Trimetoprima</v>
      </c>
      <c r="D31" s="4" t="str">
        <f aca="false">IFERROR(INDEX(Estoque!$I$2:$I$49,MATCH($A31,Estoque!$A$2:$A$49,0)),"não encontrado")</f>
        <v>DISPONIVEL</v>
      </c>
    </row>
    <row r="32" customFormat="false" ht="15" hidden="false" customHeight="false" outlineLevel="0" collapsed="false">
      <c r="A32" s="4" t="s">
        <v>66</v>
      </c>
      <c r="B32" s="4" t="s">
        <v>219</v>
      </c>
      <c r="C32" s="4" t="str">
        <f aca="false">IFERROR(INDEX(Estoque!$B$2:$B$49,MATCH($A32,Estoque!$A$2:$A$49,0)),"não encontrado")</f>
        <v>Sulfametoxazol + Trimetoprima</v>
      </c>
      <c r="D32" s="4" t="str">
        <f aca="false">IFERROR(INDEX(Estoque!$I$2:$I$49,MATCH($A32,Estoque!$A$2:$A$49,0)),"não encontrado")</f>
        <v>DISPONIVEL</v>
      </c>
    </row>
    <row r="33" customFormat="false" ht="15" hidden="false" customHeight="false" outlineLevel="0" collapsed="false">
      <c r="A33" s="4" t="s">
        <v>66</v>
      </c>
      <c r="B33" s="4" t="s">
        <v>220</v>
      </c>
      <c r="C33" s="4" t="str">
        <f aca="false">IFERROR(INDEX(Estoque!$B$2:$B$49,MATCH($A33,Estoque!$A$2:$A$49,0)),"não encontrado")</f>
        <v>Sulfametoxazol + Trimetoprima</v>
      </c>
      <c r="D33" s="4" t="str">
        <f aca="false">IFERROR(INDEX(Estoque!$I$2:$I$49,MATCH($A33,Estoque!$A$2:$A$49,0)),"não encontrado")</f>
        <v>DISPONIVEL</v>
      </c>
    </row>
    <row r="34" customFormat="false" ht="15" hidden="false" customHeight="false" outlineLevel="0" collapsed="false">
      <c r="A34" s="4" t="s">
        <v>66</v>
      </c>
      <c r="B34" s="4" t="s">
        <v>221</v>
      </c>
      <c r="C34" s="4" t="str">
        <f aca="false">IFERROR(INDEX(Estoque!$B$2:$B$49,MATCH($A34,Estoque!$A$2:$A$49,0)),"não encontrado")</f>
        <v>Sulfametoxazol + Trimetoprima</v>
      </c>
      <c r="D34" s="4" t="str">
        <f aca="false">IFERROR(INDEX(Estoque!$I$2:$I$49,MATCH($A34,Estoque!$A$2:$A$49,0)),"não encontrado")</f>
        <v>DISPONIVEL</v>
      </c>
    </row>
    <row r="35" customFormat="false" ht="15" hidden="false" customHeight="false" outlineLevel="0" collapsed="false">
      <c r="A35" s="4" t="s">
        <v>69</v>
      </c>
      <c r="B35" s="4" t="s">
        <v>222</v>
      </c>
      <c r="C35" s="4" t="str">
        <f aca="false">IFERROR(INDEX(Estoque!$B$2:$B$49,MATCH($A35,Estoque!$A$2:$A$49,0)),"não encontrado")</f>
        <v>Metronidazol</v>
      </c>
      <c r="D35" s="4" t="str">
        <f aca="false">IFERROR(INDEX(Estoque!$I$2:$I$49,MATCH($A35,Estoque!$A$2:$A$49,0)),"não encontrado")</f>
        <v>DISPONIVEL</v>
      </c>
    </row>
    <row r="36" customFormat="false" ht="15" hidden="false" customHeight="false" outlineLevel="0" collapsed="false">
      <c r="A36" s="4" t="s">
        <v>69</v>
      </c>
      <c r="B36" s="4" t="s">
        <v>223</v>
      </c>
      <c r="C36" s="4" t="str">
        <f aca="false">IFERROR(INDEX(Estoque!$B$2:$B$49,MATCH($A36,Estoque!$A$2:$A$49,0)),"não encontrado")</f>
        <v>Metronidazol</v>
      </c>
      <c r="D36" s="4" t="str">
        <f aca="false">IFERROR(INDEX(Estoque!$I$2:$I$49,MATCH($A36,Estoque!$A$2:$A$49,0)),"não encontrado")</f>
        <v>DISPONIVEL</v>
      </c>
    </row>
    <row r="37" customFormat="false" ht="15" hidden="false" customHeight="false" outlineLevel="0" collapsed="false">
      <c r="A37" s="4" t="s">
        <v>72</v>
      </c>
      <c r="B37" s="4" t="s">
        <v>224</v>
      </c>
      <c r="C37" s="4" t="str">
        <f aca="false">IFERROR(INDEX(Estoque!$B$2:$B$49,MATCH($A37,Estoque!$A$2:$A$49,0)),"não encontrado")</f>
        <v>Fluconazol</v>
      </c>
      <c r="D37" s="4" t="str">
        <f aca="false">IFERROR(INDEX(Estoque!$I$2:$I$49,MATCH($A37,Estoque!$A$2:$A$49,0)),"não encontrado")</f>
        <v>DISPONIVEL</v>
      </c>
    </row>
    <row r="38" customFormat="false" ht="15" hidden="false" customHeight="false" outlineLevel="0" collapsed="false">
      <c r="A38" s="4" t="s">
        <v>72</v>
      </c>
      <c r="B38" s="4" t="s">
        <v>225</v>
      </c>
      <c r="C38" s="4" t="str">
        <f aca="false">IFERROR(INDEX(Estoque!$B$2:$B$49,MATCH($A38,Estoque!$A$2:$A$49,0)),"não encontrado")</f>
        <v>Fluconazol</v>
      </c>
      <c r="D38" s="4" t="str">
        <f aca="false">IFERROR(INDEX(Estoque!$I$2:$I$49,MATCH($A38,Estoque!$A$2:$A$49,0)),"não encontrado")</f>
        <v>DISPONIVEL</v>
      </c>
    </row>
    <row r="39" customFormat="false" ht="15" hidden="false" customHeight="false" outlineLevel="0" collapsed="false">
      <c r="A39" s="4" t="s">
        <v>75</v>
      </c>
      <c r="B39" s="4" t="s">
        <v>226</v>
      </c>
      <c r="C39" s="4" t="str">
        <f aca="false">IFERROR(INDEX(Estoque!$B$2:$B$49,MATCH($A39,Estoque!$A$2:$A$49,0)),"não encontrado")</f>
        <v>Metformina</v>
      </c>
      <c r="D39" s="4" t="str">
        <f aca="false">IFERROR(INDEX(Estoque!$I$2:$I$49,MATCH($A39,Estoque!$A$2:$A$49,0)),"não encontrado")</f>
        <v>DISPONIVEL</v>
      </c>
    </row>
    <row r="40" customFormat="false" ht="15" hidden="false" customHeight="false" outlineLevel="0" collapsed="false">
      <c r="A40" s="4" t="s">
        <v>75</v>
      </c>
      <c r="B40" s="4" t="s">
        <v>227</v>
      </c>
      <c r="C40" s="4" t="str">
        <f aca="false">IFERROR(INDEX(Estoque!$B$2:$B$49,MATCH($A40,Estoque!$A$2:$A$49,0)),"não encontrado")</f>
        <v>Metformina</v>
      </c>
      <c r="D40" s="4" t="str">
        <f aca="false">IFERROR(INDEX(Estoque!$I$2:$I$49,MATCH($A40,Estoque!$A$2:$A$49,0)),"não encontrado")</f>
        <v>DISPONIVEL</v>
      </c>
    </row>
    <row r="41" customFormat="false" ht="15" hidden="false" customHeight="false" outlineLevel="0" collapsed="false">
      <c r="A41" s="4" t="s">
        <v>75</v>
      </c>
      <c r="B41" s="4" t="s">
        <v>228</v>
      </c>
      <c r="C41" s="4" t="str">
        <f aca="false">IFERROR(INDEX(Estoque!$B$2:$B$49,MATCH($A41,Estoque!$A$2:$A$49,0)),"não encontrado")</f>
        <v>Metformina</v>
      </c>
      <c r="D41" s="4" t="str">
        <f aca="false">IFERROR(INDEX(Estoque!$I$2:$I$49,MATCH($A41,Estoque!$A$2:$A$49,0)),"não encontrado")</f>
        <v>DISPONIVEL</v>
      </c>
    </row>
    <row r="42" customFormat="false" ht="15" hidden="false" customHeight="false" outlineLevel="0" collapsed="false">
      <c r="A42" s="4" t="s">
        <v>75</v>
      </c>
      <c r="B42" s="4" t="s">
        <v>229</v>
      </c>
      <c r="C42" s="4" t="str">
        <f aca="false">IFERROR(INDEX(Estoque!$B$2:$B$49,MATCH($A42,Estoque!$A$2:$A$49,0)),"não encontrado")</f>
        <v>Metformina</v>
      </c>
      <c r="D42" s="4" t="str">
        <f aca="false">IFERROR(INDEX(Estoque!$I$2:$I$49,MATCH($A42,Estoque!$A$2:$A$49,0)),"não encontrado")</f>
        <v>DISPONIVEL</v>
      </c>
    </row>
    <row r="43" customFormat="false" ht="15" hidden="false" customHeight="false" outlineLevel="0" collapsed="false">
      <c r="A43" s="4" t="s">
        <v>78</v>
      </c>
      <c r="B43" s="4" t="s">
        <v>230</v>
      </c>
      <c r="C43" s="4" t="str">
        <f aca="false">IFERROR(INDEX(Estoque!$B$2:$B$49,MATCH($A43,Estoque!$A$2:$A$49,0)),"não encontrado")</f>
        <v>Glibenclamida</v>
      </c>
      <c r="D43" s="4" t="str">
        <f aca="false">IFERROR(INDEX(Estoque!$I$2:$I$49,MATCH($A43,Estoque!$A$2:$A$49,0)),"não encontrado")</f>
        <v>DISPONIVEL</v>
      </c>
    </row>
    <row r="44" customFormat="false" ht="15" hidden="false" customHeight="false" outlineLevel="0" collapsed="false">
      <c r="A44" s="4" t="s">
        <v>78</v>
      </c>
      <c r="B44" s="4" t="s">
        <v>231</v>
      </c>
      <c r="C44" s="4" t="str">
        <f aca="false">IFERROR(INDEX(Estoque!$B$2:$B$49,MATCH($A44,Estoque!$A$2:$A$49,0)),"não encontrado")</f>
        <v>Glibenclamida</v>
      </c>
      <c r="D44" s="4" t="str">
        <f aca="false">IFERROR(INDEX(Estoque!$I$2:$I$49,MATCH($A44,Estoque!$A$2:$A$49,0)),"não encontrado")</f>
        <v>DISPONIVEL</v>
      </c>
    </row>
    <row r="45" customFormat="false" ht="15" hidden="false" customHeight="false" outlineLevel="0" collapsed="false">
      <c r="A45" s="4" t="s">
        <v>81</v>
      </c>
      <c r="B45" s="4" t="s">
        <v>232</v>
      </c>
      <c r="C45" s="4" t="str">
        <f aca="false">IFERROR(INDEX(Estoque!$B$2:$B$49,MATCH($A45,Estoque!$A$2:$A$49,0)),"não encontrado")</f>
        <v>Insulina NPH humana</v>
      </c>
      <c r="D45" s="4" t="str">
        <f aca="false">IFERROR(INDEX(Estoque!$I$2:$I$49,MATCH($A45,Estoque!$A$2:$A$49,0)),"não encontrado")</f>
        <v>DISPONIVEL</v>
      </c>
    </row>
    <row r="46" customFormat="false" ht="15" hidden="false" customHeight="false" outlineLevel="0" collapsed="false">
      <c r="A46" s="4" t="s">
        <v>81</v>
      </c>
      <c r="B46" s="4" t="s">
        <v>233</v>
      </c>
      <c r="C46" s="4" t="str">
        <f aca="false">IFERROR(INDEX(Estoque!$B$2:$B$49,MATCH($A46,Estoque!$A$2:$A$49,0)),"não encontrado")</f>
        <v>Insulina NPH humana</v>
      </c>
      <c r="D46" s="4" t="str">
        <f aca="false">IFERROR(INDEX(Estoque!$I$2:$I$49,MATCH($A46,Estoque!$A$2:$A$49,0)),"não encontrado")</f>
        <v>DISPONIVEL</v>
      </c>
    </row>
    <row r="47" customFormat="false" ht="15" hidden="false" customHeight="false" outlineLevel="0" collapsed="false">
      <c r="A47" s="4" t="s">
        <v>81</v>
      </c>
      <c r="B47" s="4" t="s">
        <v>234</v>
      </c>
      <c r="C47" s="4" t="str">
        <f aca="false">IFERROR(INDEX(Estoque!$B$2:$B$49,MATCH($A47,Estoque!$A$2:$A$49,0)),"não encontrado")</f>
        <v>Insulina NPH humana</v>
      </c>
      <c r="D47" s="4" t="str">
        <f aca="false">IFERROR(INDEX(Estoque!$I$2:$I$49,MATCH($A47,Estoque!$A$2:$A$49,0)),"não encontrado")</f>
        <v>DISPONIVEL</v>
      </c>
    </row>
    <row r="48" customFormat="false" ht="15" hidden="false" customHeight="false" outlineLevel="0" collapsed="false">
      <c r="A48" s="4" t="s">
        <v>86</v>
      </c>
      <c r="B48" s="4" t="s">
        <v>235</v>
      </c>
      <c r="C48" s="4" t="str">
        <f aca="false">IFERROR(INDEX(Estoque!$B$2:$B$49,MATCH($A48,Estoque!$A$2:$A$49,0)),"não encontrado")</f>
        <v>Insulina regular humana</v>
      </c>
      <c r="D48" s="4" t="str">
        <f aca="false">IFERROR(INDEX(Estoque!$I$2:$I$49,MATCH($A48,Estoque!$A$2:$A$49,0)),"não encontrado")</f>
        <v>DISPONIVEL</v>
      </c>
    </row>
    <row r="49" customFormat="false" ht="15" hidden="false" customHeight="false" outlineLevel="0" collapsed="false">
      <c r="A49" s="4" t="s">
        <v>86</v>
      </c>
      <c r="B49" s="4" t="s">
        <v>236</v>
      </c>
      <c r="C49" s="4" t="str">
        <f aca="false">IFERROR(INDEX(Estoque!$B$2:$B$49,MATCH($A49,Estoque!$A$2:$A$49,0)),"não encontrado")</f>
        <v>Insulina regular humana</v>
      </c>
      <c r="D49" s="4" t="str">
        <f aca="false">IFERROR(INDEX(Estoque!$I$2:$I$49,MATCH($A49,Estoque!$A$2:$A$49,0)),"não encontrado")</f>
        <v>DISPONIVEL</v>
      </c>
    </row>
    <row r="50" customFormat="false" ht="15" hidden="false" customHeight="false" outlineLevel="0" collapsed="false">
      <c r="A50" s="4" t="s">
        <v>89</v>
      </c>
      <c r="B50" s="4" t="s">
        <v>237</v>
      </c>
      <c r="C50" s="4" t="str">
        <f aca="false">IFERROR(INDEX(Estoque!$B$2:$B$49,MATCH($A50,Estoque!$A$2:$A$49,0)),"não encontrado")</f>
        <v>Losartana potássica</v>
      </c>
      <c r="D50" s="4" t="str">
        <f aca="false">IFERROR(INDEX(Estoque!$I$2:$I$49,MATCH($A50,Estoque!$A$2:$A$49,0)),"não encontrado")</f>
        <v>DISPONIVEL</v>
      </c>
    </row>
    <row r="51" customFormat="false" ht="15" hidden="false" customHeight="false" outlineLevel="0" collapsed="false">
      <c r="A51" s="4" t="s">
        <v>89</v>
      </c>
      <c r="B51" s="4" t="s">
        <v>238</v>
      </c>
      <c r="C51" s="4" t="str">
        <f aca="false">IFERROR(INDEX(Estoque!$B$2:$B$49,MATCH($A51,Estoque!$A$2:$A$49,0)),"não encontrado")</f>
        <v>Losartana potássica</v>
      </c>
      <c r="D51" s="4" t="str">
        <f aca="false">IFERROR(INDEX(Estoque!$I$2:$I$49,MATCH($A51,Estoque!$A$2:$A$49,0)),"não encontrado")</f>
        <v>DISPONIVEL</v>
      </c>
    </row>
    <row r="52" customFormat="false" ht="15" hidden="false" customHeight="false" outlineLevel="0" collapsed="false">
      <c r="A52" s="4" t="s">
        <v>89</v>
      </c>
      <c r="B52" s="4" t="s">
        <v>239</v>
      </c>
      <c r="C52" s="4" t="str">
        <f aca="false">IFERROR(INDEX(Estoque!$B$2:$B$49,MATCH($A52,Estoque!$A$2:$A$49,0)),"não encontrado")</f>
        <v>Losartana potássica</v>
      </c>
      <c r="D52" s="4" t="str">
        <f aca="false">IFERROR(INDEX(Estoque!$I$2:$I$49,MATCH($A52,Estoque!$A$2:$A$49,0)),"não encontrado")</f>
        <v>DISPONIVEL</v>
      </c>
    </row>
    <row r="53" customFormat="false" ht="15" hidden="false" customHeight="false" outlineLevel="0" collapsed="false">
      <c r="A53" s="4" t="s">
        <v>89</v>
      </c>
      <c r="B53" s="4" t="s">
        <v>240</v>
      </c>
      <c r="C53" s="4" t="str">
        <f aca="false">IFERROR(INDEX(Estoque!$B$2:$B$49,MATCH($A53,Estoque!$A$2:$A$49,0)),"não encontrado")</f>
        <v>Losartana potássica</v>
      </c>
      <c r="D53" s="4" t="str">
        <f aca="false">IFERROR(INDEX(Estoque!$I$2:$I$49,MATCH($A53,Estoque!$A$2:$A$49,0)),"não encontrado")</f>
        <v>DISPONIVEL</v>
      </c>
    </row>
    <row r="54" customFormat="false" ht="15" hidden="false" customHeight="false" outlineLevel="0" collapsed="false">
      <c r="A54" s="4" t="s">
        <v>92</v>
      </c>
      <c r="B54" s="4" t="s">
        <v>241</v>
      </c>
      <c r="C54" s="4" t="str">
        <f aca="false">IFERROR(INDEX(Estoque!$B$2:$B$49,MATCH($A54,Estoque!$A$2:$A$49,0)),"não encontrado")</f>
        <v>Enalapril maleato</v>
      </c>
      <c r="D54" s="4" t="str">
        <f aca="false">IFERROR(INDEX(Estoque!$I$2:$I$49,MATCH($A54,Estoque!$A$2:$A$49,0)),"não encontrado")</f>
        <v>DISPONIVEL</v>
      </c>
    </row>
    <row r="55" customFormat="false" ht="15" hidden="false" customHeight="false" outlineLevel="0" collapsed="false">
      <c r="A55" s="4" t="s">
        <v>92</v>
      </c>
      <c r="B55" s="4" t="s">
        <v>242</v>
      </c>
      <c r="C55" s="4" t="str">
        <f aca="false">IFERROR(INDEX(Estoque!$B$2:$B$49,MATCH($A55,Estoque!$A$2:$A$49,0)),"não encontrado")</f>
        <v>Enalapril maleato</v>
      </c>
      <c r="D55" s="4" t="str">
        <f aca="false">IFERROR(INDEX(Estoque!$I$2:$I$49,MATCH($A55,Estoque!$A$2:$A$49,0)),"não encontrado")</f>
        <v>DISPONIVEL</v>
      </c>
    </row>
    <row r="56" customFormat="false" ht="15" hidden="false" customHeight="false" outlineLevel="0" collapsed="false">
      <c r="A56" s="4" t="s">
        <v>95</v>
      </c>
      <c r="B56" s="4" t="s">
        <v>243</v>
      </c>
      <c r="C56" s="4" t="str">
        <f aca="false">IFERROR(INDEX(Estoque!$B$2:$B$49,MATCH($A56,Estoque!$A$2:$A$49,0)),"não encontrado")</f>
        <v>Captopril</v>
      </c>
      <c r="D56" s="4" t="str">
        <f aca="false">IFERROR(INDEX(Estoque!$I$2:$I$49,MATCH($A56,Estoque!$A$2:$A$49,0)),"não encontrado")</f>
        <v>DISPONIVEL</v>
      </c>
    </row>
    <row r="57" customFormat="false" ht="15" hidden="false" customHeight="false" outlineLevel="0" collapsed="false">
      <c r="A57" s="4" t="s">
        <v>95</v>
      </c>
      <c r="B57" s="4" t="s">
        <v>244</v>
      </c>
      <c r="C57" s="4" t="str">
        <f aca="false">IFERROR(INDEX(Estoque!$B$2:$B$49,MATCH($A57,Estoque!$A$2:$A$49,0)),"não encontrado")</f>
        <v>Captopril</v>
      </c>
      <c r="D57" s="4" t="str">
        <f aca="false">IFERROR(INDEX(Estoque!$I$2:$I$49,MATCH($A57,Estoque!$A$2:$A$49,0)),"não encontrado")</f>
        <v>DISPONIVEL</v>
      </c>
    </row>
    <row r="58" customFormat="false" ht="15" hidden="false" customHeight="false" outlineLevel="0" collapsed="false">
      <c r="A58" s="4" t="s">
        <v>98</v>
      </c>
      <c r="B58" s="4" t="s">
        <v>245</v>
      </c>
      <c r="C58" s="4" t="str">
        <f aca="false">IFERROR(INDEX(Estoque!$B$2:$B$49,MATCH($A58,Estoque!$A$2:$A$49,0)),"não encontrado")</f>
        <v>Hidroclorotiazida</v>
      </c>
      <c r="D58" s="4" t="str">
        <f aca="false">IFERROR(INDEX(Estoque!$I$2:$I$49,MATCH($A58,Estoque!$A$2:$A$49,0)),"não encontrado")</f>
        <v>DISPONIVEL</v>
      </c>
    </row>
    <row r="59" customFormat="false" ht="15" hidden="false" customHeight="false" outlineLevel="0" collapsed="false">
      <c r="A59" s="4" t="s">
        <v>98</v>
      </c>
      <c r="B59" s="4" t="s">
        <v>246</v>
      </c>
      <c r="C59" s="4" t="str">
        <f aca="false">IFERROR(INDEX(Estoque!$B$2:$B$49,MATCH($A59,Estoque!$A$2:$A$49,0)),"não encontrado")</f>
        <v>Hidroclorotiazida</v>
      </c>
      <c r="D59" s="4" t="str">
        <f aca="false">IFERROR(INDEX(Estoque!$I$2:$I$49,MATCH($A59,Estoque!$A$2:$A$49,0)),"não encontrado")</f>
        <v>DISPONIVEL</v>
      </c>
    </row>
    <row r="60" customFormat="false" ht="15" hidden="false" customHeight="false" outlineLevel="0" collapsed="false">
      <c r="A60" s="4" t="s">
        <v>98</v>
      </c>
      <c r="B60" s="4" t="s">
        <v>247</v>
      </c>
      <c r="C60" s="4" t="str">
        <f aca="false">IFERROR(INDEX(Estoque!$B$2:$B$49,MATCH($A60,Estoque!$A$2:$A$49,0)),"não encontrado")</f>
        <v>Hidroclorotiazida</v>
      </c>
      <c r="D60" s="4" t="str">
        <f aca="false">IFERROR(INDEX(Estoque!$I$2:$I$49,MATCH($A60,Estoque!$A$2:$A$49,0)),"não encontrado")</f>
        <v>DISPONIVEL</v>
      </c>
    </row>
    <row r="61" customFormat="false" ht="15" hidden="false" customHeight="false" outlineLevel="0" collapsed="false">
      <c r="A61" s="4" t="s">
        <v>100</v>
      </c>
      <c r="B61" s="4" t="s">
        <v>248</v>
      </c>
      <c r="C61" s="4" t="str">
        <f aca="false">IFERROR(INDEX(Estoque!$B$2:$B$49,MATCH($A61,Estoque!$A$2:$A$49,0)),"não encontrado")</f>
        <v>Anlodipino besilato</v>
      </c>
      <c r="D61" s="4" t="str">
        <f aca="false">IFERROR(INDEX(Estoque!$I$2:$I$49,MATCH($A61,Estoque!$A$2:$A$49,0)),"não encontrado")</f>
        <v>DISPONIVEL</v>
      </c>
    </row>
    <row r="62" customFormat="false" ht="15" hidden="false" customHeight="false" outlineLevel="0" collapsed="false">
      <c r="A62" s="4" t="s">
        <v>100</v>
      </c>
      <c r="B62" s="4" t="s">
        <v>249</v>
      </c>
      <c r="C62" s="4" t="str">
        <f aca="false">IFERROR(INDEX(Estoque!$B$2:$B$49,MATCH($A62,Estoque!$A$2:$A$49,0)),"não encontrado")</f>
        <v>Anlodipino besilato</v>
      </c>
      <c r="D62" s="4" t="str">
        <f aca="false">IFERROR(INDEX(Estoque!$I$2:$I$49,MATCH($A62,Estoque!$A$2:$A$49,0)),"não encontrado")</f>
        <v>DISPONIVEL</v>
      </c>
    </row>
    <row r="63" customFormat="false" ht="15" hidden="false" customHeight="false" outlineLevel="0" collapsed="false">
      <c r="A63" s="4" t="s">
        <v>100</v>
      </c>
      <c r="B63" s="4" t="s">
        <v>250</v>
      </c>
      <c r="C63" s="4" t="str">
        <f aca="false">IFERROR(INDEX(Estoque!$B$2:$B$49,MATCH($A63,Estoque!$A$2:$A$49,0)),"não encontrado")</f>
        <v>Anlodipino besilato</v>
      </c>
      <c r="D63" s="4" t="str">
        <f aca="false">IFERROR(INDEX(Estoque!$I$2:$I$49,MATCH($A63,Estoque!$A$2:$A$49,0)),"não encontrado")</f>
        <v>DISPONIVEL</v>
      </c>
    </row>
    <row r="64" customFormat="false" ht="15" hidden="false" customHeight="false" outlineLevel="0" collapsed="false">
      <c r="A64" s="4" t="s">
        <v>102</v>
      </c>
      <c r="B64" s="4" t="s">
        <v>251</v>
      </c>
      <c r="C64" s="4" t="str">
        <f aca="false">IFERROR(INDEX(Estoque!$B$2:$B$49,MATCH($A64,Estoque!$A$2:$A$49,0)),"não encontrado")</f>
        <v>Atenolol</v>
      </c>
      <c r="D64" s="4" t="str">
        <f aca="false">IFERROR(INDEX(Estoque!$I$2:$I$49,MATCH($A64,Estoque!$A$2:$A$49,0)),"não encontrado")</f>
        <v>ESTOQUE BAIXO</v>
      </c>
    </row>
    <row r="65" customFormat="false" ht="15" hidden="false" customHeight="false" outlineLevel="0" collapsed="false">
      <c r="A65" s="4" t="s">
        <v>102</v>
      </c>
      <c r="B65" s="4" t="s">
        <v>252</v>
      </c>
      <c r="C65" s="4" t="str">
        <f aca="false">IFERROR(INDEX(Estoque!$B$2:$B$49,MATCH($A65,Estoque!$A$2:$A$49,0)),"não encontrado")</f>
        <v>Atenolol</v>
      </c>
      <c r="D65" s="4" t="str">
        <f aca="false">IFERROR(INDEX(Estoque!$I$2:$I$49,MATCH($A65,Estoque!$A$2:$A$49,0)),"não encontrado")</f>
        <v>ESTOQUE BAIXO</v>
      </c>
    </row>
    <row r="66" customFormat="false" ht="15" hidden="false" customHeight="false" outlineLevel="0" collapsed="false">
      <c r="A66" s="4" t="s">
        <v>104</v>
      </c>
      <c r="B66" s="4" t="s">
        <v>253</v>
      </c>
      <c r="C66" s="4" t="str">
        <f aca="false">IFERROR(INDEX(Estoque!$B$2:$B$49,MATCH($A66,Estoque!$A$2:$A$49,0)),"não encontrado")</f>
        <v>Propranolol cloridrato</v>
      </c>
      <c r="D66" s="4" t="str">
        <f aca="false">IFERROR(INDEX(Estoque!$I$2:$I$49,MATCH($A66,Estoque!$A$2:$A$49,0)),"não encontrado")</f>
        <v>DISPONIVEL</v>
      </c>
    </row>
    <row r="67" customFormat="false" ht="15" hidden="false" customHeight="false" outlineLevel="0" collapsed="false">
      <c r="A67" s="4" t="s">
        <v>104</v>
      </c>
      <c r="B67" s="4" t="s">
        <v>254</v>
      </c>
      <c r="C67" s="4" t="str">
        <f aca="false">IFERROR(INDEX(Estoque!$B$2:$B$49,MATCH($A67,Estoque!$A$2:$A$49,0)),"não encontrado")</f>
        <v>Propranolol cloridrato</v>
      </c>
      <c r="D67" s="4" t="str">
        <f aca="false">IFERROR(INDEX(Estoque!$I$2:$I$49,MATCH($A67,Estoque!$A$2:$A$49,0)),"não encontrado")</f>
        <v>DISPONIVEL</v>
      </c>
    </row>
    <row r="68" customFormat="false" ht="15" hidden="false" customHeight="false" outlineLevel="0" collapsed="false">
      <c r="A68" s="4" t="s">
        <v>107</v>
      </c>
      <c r="B68" s="4" t="s">
        <v>255</v>
      </c>
      <c r="C68" s="4" t="str">
        <f aca="false">IFERROR(INDEX(Estoque!$B$2:$B$49,MATCH($A68,Estoque!$A$2:$A$49,0)),"não encontrado")</f>
        <v>Sinvastatina</v>
      </c>
      <c r="D68" s="4" t="str">
        <f aca="false">IFERROR(INDEX(Estoque!$I$2:$I$49,MATCH($A68,Estoque!$A$2:$A$49,0)),"não encontrado")</f>
        <v>DISPONIVEL</v>
      </c>
    </row>
    <row r="69" customFormat="false" ht="15" hidden="false" customHeight="false" outlineLevel="0" collapsed="false">
      <c r="A69" s="4" t="s">
        <v>107</v>
      </c>
      <c r="B69" s="4" t="s">
        <v>256</v>
      </c>
      <c r="C69" s="4" t="str">
        <f aca="false">IFERROR(INDEX(Estoque!$B$2:$B$49,MATCH($A69,Estoque!$A$2:$A$49,0)),"não encontrado")</f>
        <v>Sinvastatina</v>
      </c>
      <c r="D69" s="4" t="str">
        <f aca="false">IFERROR(INDEX(Estoque!$I$2:$I$49,MATCH($A69,Estoque!$A$2:$A$49,0)),"não encontrado")</f>
        <v>DISPONIVEL</v>
      </c>
    </row>
    <row r="70" customFormat="false" ht="15" hidden="false" customHeight="false" outlineLevel="0" collapsed="false">
      <c r="A70" s="4" t="s">
        <v>107</v>
      </c>
      <c r="B70" s="4" t="s">
        <v>257</v>
      </c>
      <c r="C70" s="4" t="str">
        <f aca="false">IFERROR(INDEX(Estoque!$B$2:$B$49,MATCH($A70,Estoque!$A$2:$A$49,0)),"não encontrado")</f>
        <v>Sinvastatina</v>
      </c>
      <c r="D70" s="4" t="str">
        <f aca="false">IFERROR(INDEX(Estoque!$I$2:$I$49,MATCH($A70,Estoque!$A$2:$A$49,0)),"não encontrado")</f>
        <v>DISPONIVEL</v>
      </c>
    </row>
    <row r="71" customFormat="false" ht="15" hidden="false" customHeight="false" outlineLevel="0" collapsed="false">
      <c r="A71" s="4" t="s">
        <v>110</v>
      </c>
      <c r="B71" s="4" t="s">
        <v>258</v>
      </c>
      <c r="C71" s="4" t="str">
        <f aca="false">IFERROR(INDEX(Estoque!$B$2:$B$49,MATCH($A71,Estoque!$A$2:$A$49,0)),"não encontrado")</f>
        <v>Ácido acetilsalicílico</v>
      </c>
      <c r="D71" s="4" t="str">
        <f aca="false">IFERROR(INDEX(Estoque!$I$2:$I$49,MATCH($A71,Estoque!$A$2:$A$49,0)),"não encontrado")</f>
        <v>DISPONIVEL</v>
      </c>
    </row>
    <row r="72" customFormat="false" ht="15" hidden="false" customHeight="false" outlineLevel="0" collapsed="false">
      <c r="A72" s="4" t="s">
        <v>110</v>
      </c>
      <c r="B72" s="4" t="s">
        <v>259</v>
      </c>
      <c r="C72" s="4" t="str">
        <f aca="false">IFERROR(INDEX(Estoque!$B$2:$B$49,MATCH($A72,Estoque!$A$2:$A$49,0)),"não encontrado")</f>
        <v>Ácido acetilsalicílico</v>
      </c>
      <c r="D72" s="4" t="str">
        <f aca="false">IFERROR(INDEX(Estoque!$I$2:$I$49,MATCH($A72,Estoque!$A$2:$A$49,0)),"não encontrado")</f>
        <v>DISPONIVEL</v>
      </c>
    </row>
    <row r="73" customFormat="false" ht="15" hidden="false" customHeight="false" outlineLevel="0" collapsed="false">
      <c r="A73" s="4" t="s">
        <v>110</v>
      </c>
      <c r="B73" s="4" t="s">
        <v>260</v>
      </c>
      <c r="C73" s="4" t="str">
        <f aca="false">IFERROR(INDEX(Estoque!$B$2:$B$49,MATCH($A73,Estoque!$A$2:$A$49,0)),"não encontrado")</f>
        <v>Ácido acetilsalicílico</v>
      </c>
      <c r="D73" s="4" t="str">
        <f aca="false">IFERROR(INDEX(Estoque!$I$2:$I$49,MATCH($A73,Estoque!$A$2:$A$49,0)),"não encontrado")</f>
        <v>DISPONIVEL</v>
      </c>
    </row>
    <row r="74" customFormat="false" ht="15" hidden="false" customHeight="false" outlineLevel="0" collapsed="false">
      <c r="A74" s="4" t="s">
        <v>110</v>
      </c>
      <c r="B74" s="4" t="s">
        <v>261</v>
      </c>
      <c r="C74" s="4" t="str">
        <f aca="false">IFERROR(INDEX(Estoque!$B$2:$B$49,MATCH($A74,Estoque!$A$2:$A$49,0)),"não encontrado")</f>
        <v>Ácido acetilsalicílico</v>
      </c>
      <c r="D74" s="4" t="str">
        <f aca="false">IFERROR(INDEX(Estoque!$I$2:$I$49,MATCH($A74,Estoque!$A$2:$A$49,0)),"não encontrado")</f>
        <v>DISPONIVEL</v>
      </c>
    </row>
    <row r="75" customFormat="false" ht="15" hidden="false" customHeight="false" outlineLevel="0" collapsed="false">
      <c r="A75" s="4" t="s">
        <v>113</v>
      </c>
      <c r="B75" s="4" t="s">
        <v>262</v>
      </c>
      <c r="C75" s="4" t="str">
        <f aca="false">IFERROR(INDEX(Estoque!$B$2:$B$49,MATCH($A75,Estoque!$A$2:$A$49,0)),"não encontrado")</f>
        <v>Omeprazol</v>
      </c>
      <c r="D75" s="4" t="str">
        <f aca="false">IFERROR(INDEX(Estoque!$I$2:$I$49,MATCH($A75,Estoque!$A$2:$A$49,0)),"não encontrado")</f>
        <v>DISPONIVEL</v>
      </c>
    </row>
    <row r="76" customFormat="false" ht="15" hidden="false" customHeight="false" outlineLevel="0" collapsed="false">
      <c r="A76" s="4" t="s">
        <v>113</v>
      </c>
      <c r="B76" s="4" t="s">
        <v>263</v>
      </c>
      <c r="C76" s="4" t="str">
        <f aca="false">IFERROR(INDEX(Estoque!$B$2:$B$49,MATCH($A76,Estoque!$A$2:$A$49,0)),"não encontrado")</f>
        <v>Omeprazol</v>
      </c>
      <c r="D76" s="4" t="str">
        <f aca="false">IFERROR(INDEX(Estoque!$I$2:$I$49,MATCH($A76,Estoque!$A$2:$A$49,0)),"não encontrado")</f>
        <v>DISPONIVEL</v>
      </c>
    </row>
    <row r="77" customFormat="false" ht="15" hidden="false" customHeight="false" outlineLevel="0" collapsed="false">
      <c r="A77" s="4" t="s">
        <v>113</v>
      </c>
      <c r="B77" s="4" t="s">
        <v>264</v>
      </c>
      <c r="C77" s="4" t="str">
        <f aca="false">IFERROR(INDEX(Estoque!$B$2:$B$49,MATCH($A77,Estoque!$A$2:$A$49,0)),"não encontrado")</f>
        <v>Omeprazol</v>
      </c>
      <c r="D77" s="4" t="str">
        <f aca="false">IFERROR(INDEX(Estoque!$I$2:$I$49,MATCH($A77,Estoque!$A$2:$A$49,0)),"não encontrado")</f>
        <v>DISPONIVEL</v>
      </c>
    </row>
    <row r="78" customFormat="false" ht="15" hidden="false" customHeight="false" outlineLevel="0" collapsed="false">
      <c r="A78" s="4" t="s">
        <v>115</v>
      </c>
      <c r="B78" s="4" t="s">
        <v>265</v>
      </c>
      <c r="C78" s="4" t="str">
        <f aca="false">IFERROR(INDEX(Estoque!$B$2:$B$49,MATCH($A78,Estoque!$A$2:$A$49,0)),"não encontrado")</f>
        <v>Metoclopramida cloridrato</v>
      </c>
      <c r="D78" s="4" t="str">
        <f aca="false">IFERROR(INDEX(Estoque!$I$2:$I$49,MATCH($A78,Estoque!$A$2:$A$49,0)),"não encontrado")</f>
        <v>DISPONIVEL</v>
      </c>
    </row>
    <row r="79" customFormat="false" ht="15" hidden="false" customHeight="false" outlineLevel="0" collapsed="false">
      <c r="A79" s="4" t="s">
        <v>115</v>
      </c>
      <c r="B79" s="4" t="s">
        <v>266</v>
      </c>
      <c r="C79" s="4" t="str">
        <f aca="false">IFERROR(INDEX(Estoque!$B$2:$B$49,MATCH($A79,Estoque!$A$2:$A$49,0)),"não encontrado")</f>
        <v>Metoclopramida cloridrato</v>
      </c>
      <c r="D79" s="4" t="str">
        <f aca="false">IFERROR(INDEX(Estoque!$I$2:$I$49,MATCH($A79,Estoque!$A$2:$A$49,0)),"não encontrado")</f>
        <v>DISPONIVEL</v>
      </c>
    </row>
    <row r="80" customFormat="false" ht="15" hidden="false" customHeight="false" outlineLevel="0" collapsed="false">
      <c r="A80" s="4" t="s">
        <v>117</v>
      </c>
      <c r="B80" s="4" t="s">
        <v>267</v>
      </c>
      <c r="C80" s="4" t="str">
        <f aca="false">IFERROR(INDEX(Estoque!$B$2:$B$49,MATCH($A80,Estoque!$A$2:$A$49,0)),"não encontrado")</f>
        <v>Prednisona</v>
      </c>
      <c r="D80" s="4" t="str">
        <f aca="false">IFERROR(INDEX(Estoque!$I$2:$I$49,MATCH($A80,Estoque!$A$2:$A$49,0)),"não encontrado")</f>
        <v>DISPONIVEL</v>
      </c>
    </row>
    <row r="81" customFormat="false" ht="15" hidden="false" customHeight="false" outlineLevel="0" collapsed="false">
      <c r="A81" s="4" t="s">
        <v>117</v>
      </c>
      <c r="B81" s="4" t="s">
        <v>268</v>
      </c>
      <c r="C81" s="4" t="str">
        <f aca="false">IFERROR(INDEX(Estoque!$B$2:$B$49,MATCH($A81,Estoque!$A$2:$A$49,0)),"não encontrado")</f>
        <v>Prednisona</v>
      </c>
      <c r="D81" s="4" t="str">
        <f aca="false">IFERROR(INDEX(Estoque!$I$2:$I$49,MATCH($A81,Estoque!$A$2:$A$49,0)),"não encontrado")</f>
        <v>DISPONIVEL</v>
      </c>
    </row>
    <row r="82" customFormat="false" ht="15" hidden="false" customHeight="false" outlineLevel="0" collapsed="false">
      <c r="A82" s="4" t="s">
        <v>119</v>
      </c>
      <c r="B82" s="4" t="s">
        <v>269</v>
      </c>
      <c r="C82" s="4" t="str">
        <f aca="false">IFERROR(INDEX(Estoque!$B$2:$B$49,MATCH($A82,Estoque!$A$2:$A$49,0)),"não encontrado")</f>
        <v>Prednisolona fosfato sódico</v>
      </c>
      <c r="D82" s="4" t="str">
        <f aca="false">IFERROR(INDEX(Estoque!$I$2:$I$49,MATCH($A82,Estoque!$A$2:$A$49,0)),"não encontrado")</f>
        <v>EM FALTA</v>
      </c>
    </row>
    <row r="83" customFormat="false" ht="15" hidden="false" customHeight="false" outlineLevel="0" collapsed="false">
      <c r="A83" s="4" t="s">
        <v>119</v>
      </c>
      <c r="B83" s="4" t="s">
        <v>270</v>
      </c>
      <c r="C83" s="4" t="str">
        <f aca="false">IFERROR(INDEX(Estoque!$B$2:$B$49,MATCH($A83,Estoque!$A$2:$A$49,0)),"não encontrado")</f>
        <v>Prednisolona fosfato sódico</v>
      </c>
      <c r="D83" s="4" t="str">
        <f aca="false">IFERROR(INDEX(Estoque!$I$2:$I$49,MATCH($A83,Estoque!$A$2:$A$49,0)),"não encontrado")</f>
        <v>EM FALTA</v>
      </c>
    </row>
    <row r="84" customFormat="false" ht="15" hidden="false" customHeight="false" outlineLevel="0" collapsed="false">
      <c r="A84" s="4" t="s">
        <v>119</v>
      </c>
      <c r="B84" s="4" t="s">
        <v>271</v>
      </c>
      <c r="C84" s="4" t="str">
        <f aca="false">IFERROR(INDEX(Estoque!$B$2:$B$49,MATCH($A84,Estoque!$A$2:$A$49,0)),"não encontrado")</f>
        <v>Prednisolona fosfato sódico</v>
      </c>
      <c r="D84" s="4" t="str">
        <f aca="false">IFERROR(INDEX(Estoque!$I$2:$I$49,MATCH($A84,Estoque!$A$2:$A$49,0)),"não encontrado")</f>
        <v>EM FALTA</v>
      </c>
    </row>
    <row r="85" customFormat="false" ht="15" hidden="false" customHeight="false" outlineLevel="0" collapsed="false">
      <c r="A85" s="4" t="s">
        <v>122</v>
      </c>
      <c r="B85" s="4" t="s">
        <v>272</v>
      </c>
      <c r="C85" s="4" t="str">
        <f aca="false">IFERROR(INDEX(Estoque!$B$2:$B$49,MATCH($A85,Estoque!$A$2:$A$49,0)),"não encontrado")</f>
        <v>Dexametasona</v>
      </c>
      <c r="D85" s="4" t="str">
        <f aca="false">IFERROR(INDEX(Estoque!$I$2:$I$49,MATCH($A85,Estoque!$A$2:$A$49,0)),"não encontrado")</f>
        <v>DISPONIVEL</v>
      </c>
    </row>
    <row r="86" customFormat="false" ht="15" hidden="false" customHeight="false" outlineLevel="0" collapsed="false">
      <c r="A86" s="4" t="s">
        <v>122</v>
      </c>
      <c r="B86" s="4" t="s">
        <v>273</v>
      </c>
      <c r="C86" s="4" t="str">
        <f aca="false">IFERROR(INDEX(Estoque!$B$2:$B$49,MATCH($A86,Estoque!$A$2:$A$49,0)),"não encontrado")</f>
        <v>Dexametasona</v>
      </c>
      <c r="D86" s="4" t="str">
        <f aca="false">IFERROR(INDEX(Estoque!$I$2:$I$49,MATCH($A86,Estoque!$A$2:$A$49,0)),"não encontrado")</f>
        <v>DISPONIVEL</v>
      </c>
    </row>
    <row r="87" customFormat="false" ht="15" hidden="false" customHeight="false" outlineLevel="0" collapsed="false">
      <c r="A87" s="4" t="s">
        <v>127</v>
      </c>
      <c r="B87" s="4" t="s">
        <v>274</v>
      </c>
      <c r="C87" s="4" t="str">
        <f aca="false">IFERROR(INDEX(Estoque!$B$2:$B$49,MATCH($A87,Estoque!$A$2:$A$49,0)),"não encontrado")</f>
        <v>Loratadina</v>
      </c>
      <c r="D87" s="4" t="str">
        <f aca="false">IFERROR(INDEX(Estoque!$I$2:$I$49,MATCH($A87,Estoque!$A$2:$A$49,0)),"não encontrado")</f>
        <v>DISPONIVEL</v>
      </c>
    </row>
    <row r="88" customFormat="false" ht="15" hidden="false" customHeight="false" outlineLevel="0" collapsed="false">
      <c r="A88" s="4" t="s">
        <v>127</v>
      </c>
      <c r="B88" s="4" t="s">
        <v>275</v>
      </c>
      <c r="C88" s="4" t="str">
        <f aca="false">IFERROR(INDEX(Estoque!$B$2:$B$49,MATCH($A88,Estoque!$A$2:$A$49,0)),"não encontrado")</f>
        <v>Loratadina</v>
      </c>
      <c r="D88" s="4" t="str">
        <f aca="false">IFERROR(INDEX(Estoque!$I$2:$I$49,MATCH($A88,Estoque!$A$2:$A$49,0)),"não encontrado")</f>
        <v>DISPONIVEL</v>
      </c>
    </row>
    <row r="89" customFormat="false" ht="15" hidden="false" customHeight="false" outlineLevel="0" collapsed="false">
      <c r="A89" s="4" t="s">
        <v>127</v>
      </c>
      <c r="B89" s="4" t="s">
        <v>276</v>
      </c>
      <c r="C89" s="4" t="str">
        <f aca="false">IFERROR(INDEX(Estoque!$B$2:$B$49,MATCH($A89,Estoque!$A$2:$A$49,0)),"não encontrado")</f>
        <v>Loratadina</v>
      </c>
      <c r="D89" s="4" t="str">
        <f aca="false">IFERROR(INDEX(Estoque!$I$2:$I$49,MATCH($A89,Estoque!$A$2:$A$49,0)),"não encontrado")</f>
        <v>DISPONIVEL</v>
      </c>
    </row>
    <row r="90" customFormat="false" ht="15" hidden="false" customHeight="false" outlineLevel="0" collapsed="false">
      <c r="A90" s="4" t="s">
        <v>129</v>
      </c>
      <c r="B90" s="4" t="s">
        <v>277</v>
      </c>
      <c r="C90" s="4" t="str">
        <f aca="false">IFERROR(INDEX(Estoque!$B$2:$B$49,MATCH($A90,Estoque!$A$2:$A$49,0)),"não encontrado")</f>
        <v>Salbutamol sulfato</v>
      </c>
      <c r="D90" s="4" t="str">
        <f aca="false">IFERROR(INDEX(Estoque!$I$2:$I$49,MATCH($A90,Estoque!$A$2:$A$49,0)),"não encontrado")</f>
        <v>DISPONIVEL</v>
      </c>
    </row>
    <row r="91" customFormat="false" ht="15" hidden="false" customHeight="false" outlineLevel="0" collapsed="false">
      <c r="A91" s="4" t="s">
        <v>129</v>
      </c>
      <c r="B91" s="4" t="s">
        <v>278</v>
      </c>
      <c r="C91" s="4" t="str">
        <f aca="false">IFERROR(INDEX(Estoque!$B$2:$B$49,MATCH($A91,Estoque!$A$2:$A$49,0)),"não encontrado")</f>
        <v>Salbutamol sulfato</v>
      </c>
      <c r="D91" s="4" t="str">
        <f aca="false">IFERROR(INDEX(Estoque!$I$2:$I$49,MATCH($A91,Estoque!$A$2:$A$49,0)),"não encontrado")</f>
        <v>DISPONIVEL</v>
      </c>
    </row>
    <row r="92" customFormat="false" ht="15" hidden="false" customHeight="false" outlineLevel="0" collapsed="false">
      <c r="A92" s="4" t="s">
        <v>129</v>
      </c>
      <c r="B92" s="4" t="s">
        <v>279</v>
      </c>
      <c r="C92" s="4" t="str">
        <f aca="false">IFERROR(INDEX(Estoque!$B$2:$B$49,MATCH($A92,Estoque!$A$2:$A$49,0)),"não encontrado")</f>
        <v>Salbutamol sulfato</v>
      </c>
      <c r="D92" s="4" t="str">
        <f aca="false">IFERROR(INDEX(Estoque!$I$2:$I$49,MATCH($A92,Estoque!$A$2:$A$49,0)),"não encontrado")</f>
        <v>DISPONIVEL</v>
      </c>
    </row>
    <row r="93" customFormat="false" ht="15" hidden="false" customHeight="false" outlineLevel="0" collapsed="false">
      <c r="A93" s="4" t="s">
        <v>133</v>
      </c>
      <c r="B93" s="4" t="s">
        <v>280</v>
      </c>
      <c r="C93" s="4" t="str">
        <f aca="false">IFERROR(INDEX(Estoque!$B$2:$B$49,MATCH($A93,Estoque!$A$2:$A$49,0)),"não encontrado")</f>
        <v>Beclometasona dipropionato</v>
      </c>
      <c r="D93" s="4" t="str">
        <f aca="false">IFERROR(INDEX(Estoque!$I$2:$I$49,MATCH($A93,Estoque!$A$2:$A$49,0)),"não encontrado")</f>
        <v>DISPONIVEL</v>
      </c>
    </row>
    <row r="94" customFormat="false" ht="15" hidden="false" customHeight="false" outlineLevel="0" collapsed="false">
      <c r="A94" s="4" t="s">
        <v>133</v>
      </c>
      <c r="B94" s="4" t="s">
        <v>281</v>
      </c>
      <c r="C94" s="4" t="str">
        <f aca="false">IFERROR(INDEX(Estoque!$B$2:$B$49,MATCH($A94,Estoque!$A$2:$A$49,0)),"não encontrado")</f>
        <v>Beclometasona dipropionato</v>
      </c>
      <c r="D94" s="4" t="str">
        <f aca="false">IFERROR(INDEX(Estoque!$I$2:$I$49,MATCH($A94,Estoque!$A$2:$A$49,0)),"não encontrado")</f>
        <v>DISPONIVEL</v>
      </c>
    </row>
    <row r="95" customFormat="false" ht="15" hidden="false" customHeight="false" outlineLevel="0" collapsed="false">
      <c r="A95" s="4" t="s">
        <v>136</v>
      </c>
      <c r="B95" s="4" t="s">
        <v>282</v>
      </c>
      <c r="C95" s="4" t="str">
        <f aca="false">IFERROR(INDEX(Estoque!$B$2:$B$49,MATCH($A95,Estoque!$A$2:$A$49,0)),"não encontrado")</f>
        <v>Albendazol</v>
      </c>
      <c r="D95" s="4" t="str">
        <f aca="false">IFERROR(INDEX(Estoque!$I$2:$I$49,MATCH($A95,Estoque!$A$2:$A$49,0)),"não encontrado")</f>
        <v>DISPONIVEL</v>
      </c>
    </row>
    <row r="96" customFormat="false" ht="15" hidden="false" customHeight="false" outlineLevel="0" collapsed="false">
      <c r="A96" s="4" t="s">
        <v>136</v>
      </c>
      <c r="B96" s="4" t="s">
        <v>283</v>
      </c>
      <c r="C96" s="4" t="str">
        <f aca="false">IFERROR(INDEX(Estoque!$B$2:$B$49,MATCH($A96,Estoque!$A$2:$A$49,0)),"não encontrado")</f>
        <v>Albendazol</v>
      </c>
      <c r="D96" s="4" t="str">
        <f aca="false">IFERROR(INDEX(Estoque!$I$2:$I$49,MATCH($A96,Estoque!$A$2:$A$49,0)),"não encontrado")</f>
        <v>DISPONIVEL</v>
      </c>
    </row>
    <row r="97" customFormat="false" ht="15" hidden="false" customHeight="false" outlineLevel="0" collapsed="false">
      <c r="A97" s="4" t="s">
        <v>136</v>
      </c>
      <c r="B97" s="4" t="s">
        <v>284</v>
      </c>
      <c r="C97" s="4" t="str">
        <f aca="false">IFERROR(INDEX(Estoque!$B$2:$B$49,MATCH($A97,Estoque!$A$2:$A$49,0)),"não encontrado")</f>
        <v>Albendazol</v>
      </c>
      <c r="D97" s="4" t="str">
        <f aca="false">IFERROR(INDEX(Estoque!$I$2:$I$49,MATCH($A97,Estoque!$A$2:$A$49,0)),"não encontrado")</f>
        <v>DISPONIVEL</v>
      </c>
    </row>
    <row r="98" customFormat="false" ht="15" hidden="false" customHeight="false" outlineLevel="0" collapsed="false">
      <c r="A98" s="4" t="s">
        <v>140</v>
      </c>
      <c r="B98" s="4" t="s">
        <v>285</v>
      </c>
      <c r="C98" s="4" t="str">
        <f aca="false">IFERROR(INDEX(Estoque!$B$2:$B$49,MATCH($A98,Estoque!$A$2:$A$49,0)),"não encontrado")</f>
        <v>Ivermectina</v>
      </c>
      <c r="D98" s="4" t="str">
        <f aca="false">IFERROR(INDEX(Estoque!$I$2:$I$49,MATCH($A98,Estoque!$A$2:$A$49,0)),"não encontrado")</f>
        <v>EM FALTA</v>
      </c>
    </row>
    <row r="99" customFormat="false" ht="15" hidden="false" customHeight="false" outlineLevel="0" collapsed="false">
      <c r="A99" s="4" t="s">
        <v>140</v>
      </c>
      <c r="B99" s="4" t="s">
        <v>286</v>
      </c>
      <c r="C99" s="4" t="str">
        <f aca="false">IFERROR(INDEX(Estoque!$B$2:$B$49,MATCH($A99,Estoque!$A$2:$A$49,0)),"não encontrado")</f>
        <v>Ivermectina</v>
      </c>
      <c r="D99" s="4" t="str">
        <f aca="false">IFERROR(INDEX(Estoque!$I$2:$I$49,MATCH($A99,Estoque!$A$2:$A$49,0)),"não encontrado")</f>
        <v>EM FALTA</v>
      </c>
    </row>
    <row r="100" customFormat="false" ht="15" hidden="false" customHeight="false" outlineLevel="0" collapsed="false">
      <c r="A100" s="4" t="s">
        <v>143</v>
      </c>
      <c r="B100" s="4" t="s">
        <v>287</v>
      </c>
      <c r="C100" s="4" t="str">
        <f aca="false">IFERROR(INDEX(Estoque!$B$2:$B$49,MATCH($A100,Estoque!$A$2:$A$49,0)),"não encontrado")</f>
        <v>Levotiroxina sódica</v>
      </c>
      <c r="D100" s="4" t="str">
        <f aca="false">IFERROR(INDEX(Estoque!$I$2:$I$49,MATCH($A100,Estoque!$A$2:$A$49,0)),"não encontrado")</f>
        <v>DISPONIVEL</v>
      </c>
    </row>
    <row r="101" customFormat="false" ht="15" hidden="false" customHeight="false" outlineLevel="0" collapsed="false">
      <c r="A101" s="4" t="s">
        <v>143</v>
      </c>
      <c r="B101" s="4" t="s">
        <v>288</v>
      </c>
      <c r="C101" s="4" t="str">
        <f aca="false">IFERROR(INDEX(Estoque!$B$2:$B$49,MATCH($A101,Estoque!$A$2:$A$49,0)),"não encontrado")</f>
        <v>Levotiroxina sódica</v>
      </c>
      <c r="D101" s="4" t="str">
        <f aca="false">IFERROR(INDEX(Estoque!$I$2:$I$49,MATCH($A101,Estoque!$A$2:$A$49,0)),"não encontrado")</f>
        <v>DISPONIVEL</v>
      </c>
    </row>
    <row r="102" customFormat="false" ht="15" hidden="false" customHeight="false" outlineLevel="0" collapsed="false">
      <c r="A102" s="4" t="s">
        <v>143</v>
      </c>
      <c r="B102" s="4" t="s">
        <v>289</v>
      </c>
      <c r="C102" s="4" t="str">
        <f aca="false">IFERROR(INDEX(Estoque!$B$2:$B$49,MATCH($A102,Estoque!$A$2:$A$49,0)),"não encontrado")</f>
        <v>Levotiroxina sódica</v>
      </c>
      <c r="D102" s="4" t="str">
        <f aca="false">IFERROR(INDEX(Estoque!$I$2:$I$49,MATCH($A102,Estoque!$A$2:$A$49,0)),"não encontrado")</f>
        <v>DISPONIVEL</v>
      </c>
    </row>
    <row r="103" customFormat="false" ht="15" hidden="false" customHeight="false" outlineLevel="0" collapsed="false">
      <c r="A103" s="4" t="s">
        <v>143</v>
      </c>
      <c r="B103" s="4" t="s">
        <v>290</v>
      </c>
      <c r="C103" s="4" t="str">
        <f aca="false">IFERROR(INDEX(Estoque!$B$2:$B$49,MATCH($A103,Estoque!$A$2:$A$49,0)),"não encontrado")</f>
        <v>Levotiroxina sódica</v>
      </c>
      <c r="D103" s="4" t="str">
        <f aca="false">IFERROR(INDEX(Estoque!$I$2:$I$49,MATCH($A103,Estoque!$A$2:$A$49,0)),"não encontrado")</f>
        <v>DISPONIVEL</v>
      </c>
    </row>
    <row r="104" customFormat="false" ht="15" hidden="false" customHeight="false" outlineLevel="0" collapsed="false">
      <c r="A104" s="4" t="s">
        <v>146</v>
      </c>
      <c r="B104" s="4" t="s">
        <v>291</v>
      </c>
      <c r="C104" s="4" t="str">
        <f aca="false">IFERROR(INDEX(Estoque!$B$2:$B$49,MATCH($A104,Estoque!$A$2:$A$49,0)),"não encontrado")</f>
        <v>Sulfato ferroso</v>
      </c>
      <c r="D104" s="4" t="str">
        <f aca="false">IFERROR(INDEX(Estoque!$I$2:$I$49,MATCH($A104,Estoque!$A$2:$A$49,0)),"não encontrado")</f>
        <v>DISPONIVEL</v>
      </c>
    </row>
    <row r="105" customFormat="false" ht="15" hidden="false" customHeight="false" outlineLevel="0" collapsed="false">
      <c r="A105" s="4" t="s">
        <v>146</v>
      </c>
      <c r="B105" s="4" t="s">
        <v>292</v>
      </c>
      <c r="C105" s="4" t="str">
        <f aca="false">IFERROR(INDEX(Estoque!$B$2:$B$49,MATCH($A105,Estoque!$A$2:$A$49,0)),"não encontrado")</f>
        <v>Sulfato ferroso</v>
      </c>
      <c r="D105" s="4" t="str">
        <f aca="false">IFERROR(INDEX(Estoque!$I$2:$I$49,MATCH($A105,Estoque!$A$2:$A$49,0)),"não encontrado")</f>
        <v>DISPONIVEL</v>
      </c>
    </row>
    <row r="106" customFormat="false" ht="15" hidden="false" customHeight="false" outlineLevel="0" collapsed="false">
      <c r="A106" s="4" t="s">
        <v>146</v>
      </c>
      <c r="B106" s="4" t="s">
        <v>293</v>
      </c>
      <c r="C106" s="4" t="str">
        <f aca="false">IFERROR(INDEX(Estoque!$B$2:$B$49,MATCH($A106,Estoque!$A$2:$A$49,0)),"não encontrado")</f>
        <v>Sulfato ferroso</v>
      </c>
      <c r="D106" s="4" t="str">
        <f aca="false">IFERROR(INDEX(Estoque!$I$2:$I$49,MATCH($A106,Estoque!$A$2:$A$49,0)),"não encontrado")</f>
        <v>DISPONIVEL</v>
      </c>
    </row>
    <row r="107" customFormat="false" ht="15" hidden="false" customHeight="false" outlineLevel="0" collapsed="false">
      <c r="A107" s="4" t="s">
        <v>149</v>
      </c>
      <c r="B107" s="4" t="s">
        <v>294</v>
      </c>
      <c r="C107" s="4" t="str">
        <f aca="false">IFERROR(INDEX(Estoque!$B$2:$B$49,MATCH($A107,Estoque!$A$2:$A$49,0)),"não encontrado")</f>
        <v>Ácido fólico</v>
      </c>
      <c r="D107" s="4" t="str">
        <f aca="false">IFERROR(INDEX(Estoque!$I$2:$I$49,MATCH($A107,Estoque!$A$2:$A$49,0)),"não encontrado")</f>
        <v>DISPONIVEL</v>
      </c>
    </row>
    <row r="108" customFormat="false" ht="15" hidden="false" customHeight="false" outlineLevel="0" collapsed="false">
      <c r="A108" s="4" t="s">
        <v>149</v>
      </c>
      <c r="B108" s="4" t="s">
        <v>295</v>
      </c>
      <c r="C108" s="4" t="str">
        <f aca="false">IFERROR(INDEX(Estoque!$B$2:$B$49,MATCH($A108,Estoque!$A$2:$A$49,0)),"não encontrado")</f>
        <v>Ácido fólico</v>
      </c>
      <c r="D108" s="4" t="str">
        <f aca="false">IFERROR(INDEX(Estoque!$I$2:$I$49,MATCH($A108,Estoque!$A$2:$A$49,0)),"não encontrado")</f>
        <v>DISPONIVEL</v>
      </c>
    </row>
    <row r="109" customFormat="false" ht="15" hidden="false" customHeight="false" outlineLevel="0" collapsed="false">
      <c r="A109" s="4" t="s">
        <v>151</v>
      </c>
      <c r="B109" s="4" t="s">
        <v>296</v>
      </c>
      <c r="C109" s="4" t="str">
        <f aca="false">IFERROR(INDEX(Estoque!$B$2:$B$49,MATCH($A109,Estoque!$A$2:$A$49,0)),"não encontrado")</f>
        <v>Sais para reidratação oral</v>
      </c>
      <c r="D109" s="4" t="str">
        <f aca="false">IFERROR(INDEX(Estoque!$I$2:$I$49,MATCH($A109,Estoque!$A$2:$A$49,0)),"não encontrado")</f>
        <v>DISPONIVEL</v>
      </c>
    </row>
    <row r="110" customFormat="false" ht="15" hidden="false" customHeight="false" outlineLevel="0" collapsed="false">
      <c r="A110" s="4" t="s">
        <v>151</v>
      </c>
      <c r="B110" s="4" t="s">
        <v>297</v>
      </c>
      <c r="C110" s="4" t="str">
        <f aca="false">IFERROR(INDEX(Estoque!$B$2:$B$49,MATCH($A110,Estoque!$A$2:$A$49,0)),"não encontrado")</f>
        <v>Sais para reidratação oral</v>
      </c>
      <c r="D110" s="4" t="str">
        <f aca="false">IFERROR(INDEX(Estoque!$I$2:$I$49,MATCH($A110,Estoque!$A$2:$A$49,0)),"não encontrado")</f>
        <v>DISPONIVEL</v>
      </c>
    </row>
    <row r="111" customFormat="false" ht="15" hidden="false" customHeight="false" outlineLevel="0" collapsed="false">
      <c r="A111" s="4" t="s">
        <v>151</v>
      </c>
      <c r="B111" s="4" t="s">
        <v>298</v>
      </c>
      <c r="C111" s="4" t="str">
        <f aca="false">IFERROR(INDEX(Estoque!$B$2:$B$49,MATCH($A111,Estoque!$A$2:$A$49,0)),"não encontrado")</f>
        <v>Sais para reidratação oral</v>
      </c>
      <c r="D111" s="4" t="str">
        <f aca="false">IFERROR(INDEX(Estoque!$I$2:$I$49,MATCH($A111,Estoque!$A$2:$A$49,0)),"não encontrado")</f>
        <v>DISPONIVEL</v>
      </c>
    </row>
    <row r="112" customFormat="false" ht="15" hidden="false" customHeight="false" outlineLevel="0" collapsed="false">
      <c r="A112" s="4" t="s">
        <v>158</v>
      </c>
      <c r="B112" s="4" t="s">
        <v>299</v>
      </c>
      <c r="C112" s="4" t="str">
        <f aca="false">IFERROR(INDEX(Estoque!$B$2:$B$49,MATCH($A112,Estoque!$A$2:$A$49,0)),"não encontrado")</f>
        <v>Nistatina</v>
      </c>
      <c r="D112" s="4" t="str">
        <f aca="false">IFERROR(INDEX(Estoque!$I$2:$I$49,MATCH($A112,Estoque!$A$2:$A$49,0)),"não encontrado")</f>
        <v>ESTOQUE BAIXO</v>
      </c>
    </row>
    <row r="113" customFormat="false" ht="15" hidden="false" customHeight="false" outlineLevel="0" collapsed="false">
      <c r="A113" s="4" t="s">
        <v>158</v>
      </c>
      <c r="B113" s="4" t="s">
        <v>300</v>
      </c>
      <c r="C113" s="4" t="str">
        <f aca="false">IFERROR(INDEX(Estoque!$B$2:$B$49,MATCH($A113,Estoque!$A$2:$A$49,0)),"não encontrado")</f>
        <v>Nistatina</v>
      </c>
      <c r="D113" s="4" t="str">
        <f aca="false">IFERROR(INDEX(Estoque!$I$2:$I$49,MATCH($A113,Estoque!$A$2:$A$49,0)),"não encontrado")</f>
        <v>ESTOQUE BAIXO</v>
      </c>
    </row>
    <row r="114" customFormat="false" ht="15" hidden="false" customHeight="false" outlineLevel="0" collapsed="false">
      <c r="A114" s="4" t="s">
        <v>161</v>
      </c>
      <c r="B114" s="4" t="s">
        <v>301</v>
      </c>
      <c r="C114" s="4" t="str">
        <f aca="false">IFERROR(INDEX(Estoque!$B$2:$B$49,MATCH($A114,Estoque!$A$2:$A$49,0)),"não encontrado")</f>
        <v>Permetrina</v>
      </c>
      <c r="D114" s="4" t="str">
        <f aca="false">IFERROR(INDEX(Estoque!$I$2:$I$49,MATCH($A114,Estoque!$A$2:$A$49,0)),"não encontrado")</f>
        <v>DISPONIVEL</v>
      </c>
    </row>
    <row r="115" customFormat="false" ht="15" hidden="false" customHeight="false" outlineLevel="0" collapsed="false">
      <c r="A115" s="4" t="s">
        <v>161</v>
      </c>
      <c r="B115" s="4" t="s">
        <v>302</v>
      </c>
      <c r="C115" s="4" t="str">
        <f aca="false">IFERROR(INDEX(Estoque!$B$2:$B$49,MATCH($A115,Estoque!$A$2:$A$49,0)),"não encontrado")</f>
        <v>Permetrina</v>
      </c>
      <c r="D115" s="4" t="str">
        <f aca="false">IFERROR(INDEX(Estoque!$I$2:$I$49,MATCH($A115,Estoque!$A$2:$A$49,0)),"não encontrado")</f>
        <v>DISPONIVEL</v>
      </c>
    </row>
    <row r="116" customFormat="false" ht="15" hidden="false" customHeight="false" outlineLevel="0" collapsed="false">
      <c r="A116" s="4" t="s">
        <v>161</v>
      </c>
      <c r="B116" s="4" t="s">
        <v>303</v>
      </c>
      <c r="C116" s="4" t="str">
        <f aca="false">IFERROR(INDEX(Estoque!$B$2:$B$49,MATCH($A116,Estoque!$A$2:$A$49,0)),"não encontrado")</f>
        <v>Permetrina</v>
      </c>
      <c r="D116" s="4" t="str">
        <f aca="false">IFERROR(INDEX(Estoque!$I$2:$I$49,MATCH($A116,Estoque!$A$2:$A$49,0)),"não encontrado")</f>
        <v>DISPONIVEL</v>
      </c>
    </row>
    <row r="117" customFormat="false" ht="15" hidden="false" customHeight="false" outlineLevel="0" collapsed="false">
      <c r="A117" s="4" t="s">
        <v>165</v>
      </c>
      <c r="B117" s="4" t="s">
        <v>304</v>
      </c>
      <c r="C117" s="4" t="str">
        <f aca="false">IFERROR(INDEX(Estoque!$B$2:$B$49,MATCH($A117,Estoque!$A$2:$A$49,0)),"não encontrado")</f>
        <v>Etinilestradiol + Levonorgestrel</v>
      </c>
      <c r="D117" s="4" t="str">
        <f aca="false">IFERROR(INDEX(Estoque!$I$2:$I$49,MATCH($A117,Estoque!$A$2:$A$49,0)),"não encontrado")</f>
        <v>DISPONIVEL</v>
      </c>
    </row>
    <row r="118" customFormat="false" ht="15" hidden="false" customHeight="false" outlineLevel="0" collapsed="false">
      <c r="A118" s="4" t="s">
        <v>165</v>
      </c>
      <c r="B118" s="4" t="s">
        <v>305</v>
      </c>
      <c r="C118" s="4" t="str">
        <f aca="false">IFERROR(INDEX(Estoque!$B$2:$B$49,MATCH($A118,Estoque!$A$2:$A$49,0)),"não encontrado")</f>
        <v>Etinilestradiol + Levonorgestrel</v>
      </c>
      <c r="D118" s="4" t="str">
        <f aca="false">IFERROR(INDEX(Estoque!$I$2:$I$49,MATCH($A118,Estoque!$A$2:$A$49,0)),"não encontrado")</f>
        <v>DISPONIVEL</v>
      </c>
    </row>
    <row r="119" customFormat="false" ht="15" hidden="false" customHeight="false" outlineLevel="0" collapsed="false">
      <c r="A119" s="4" t="s">
        <v>165</v>
      </c>
      <c r="B119" s="4" t="s">
        <v>306</v>
      </c>
      <c r="C119" s="4" t="str">
        <f aca="false">IFERROR(INDEX(Estoque!$B$2:$B$49,MATCH($A119,Estoque!$A$2:$A$49,0)),"não encontrado")</f>
        <v>Etinilestradiol + Levonorgestrel</v>
      </c>
      <c r="D119" s="4" t="str">
        <f aca="false">IFERROR(INDEX(Estoque!$I$2:$I$49,MATCH($A119,Estoque!$A$2:$A$49,0)),"não encontrado")</f>
        <v>DISPONIVEL</v>
      </c>
    </row>
    <row r="120" customFormat="false" ht="15" hidden="false" customHeight="false" outlineLevel="0" collapsed="false">
      <c r="A120" s="4" t="s">
        <v>165</v>
      </c>
      <c r="B120" s="4" t="s">
        <v>307</v>
      </c>
      <c r="C120" s="4" t="str">
        <f aca="false">IFERROR(INDEX(Estoque!$B$2:$B$49,MATCH($A120,Estoque!$A$2:$A$49,0)),"não encontrado")</f>
        <v>Etinilestradiol + Levonorgestrel</v>
      </c>
      <c r="D120" s="4" t="str">
        <f aca="false">IFERROR(INDEX(Estoque!$I$2:$I$49,MATCH($A120,Estoque!$A$2:$A$49,0)),"não encontrado")</f>
        <v>DISPONIVEL</v>
      </c>
    </row>
    <row r="121" customFormat="false" ht="15" hidden="false" customHeight="false" outlineLevel="0" collapsed="false">
      <c r="A121" s="4" t="s">
        <v>169</v>
      </c>
      <c r="B121" s="4" t="s">
        <v>308</v>
      </c>
      <c r="C121" s="4" t="str">
        <f aca="false">IFERROR(INDEX(Estoque!$B$2:$B$49,MATCH($A121,Estoque!$A$2:$A$49,0)),"não encontrado")</f>
        <v>Amitriptilina cloridrato</v>
      </c>
      <c r="D121" s="4" t="str">
        <f aca="false">IFERROR(INDEX(Estoque!$I$2:$I$49,MATCH($A121,Estoque!$A$2:$A$49,0)),"não encontrado")</f>
        <v>DISPONIVEL</v>
      </c>
    </row>
    <row r="122" customFormat="false" ht="15" hidden="false" customHeight="false" outlineLevel="0" collapsed="false">
      <c r="A122" s="4" t="s">
        <v>169</v>
      </c>
      <c r="B122" s="4" t="s">
        <v>309</v>
      </c>
      <c r="C122" s="4" t="str">
        <f aca="false">IFERROR(INDEX(Estoque!$B$2:$B$49,MATCH($A122,Estoque!$A$2:$A$49,0)),"não encontrado")</f>
        <v>Amitriptilina cloridrato</v>
      </c>
      <c r="D122" s="4" t="str">
        <f aca="false">IFERROR(INDEX(Estoque!$I$2:$I$49,MATCH($A122,Estoque!$A$2:$A$49,0)),"não encontrado")</f>
        <v>DISPONIVEL</v>
      </c>
    </row>
    <row r="123" customFormat="false" ht="15" hidden="false" customHeight="false" outlineLevel="0" collapsed="false">
      <c r="A123" s="4" t="s">
        <v>172</v>
      </c>
      <c r="B123" s="4" t="s">
        <v>310</v>
      </c>
      <c r="C123" s="4" t="str">
        <f aca="false">IFERROR(INDEX(Estoque!$B$2:$B$49,MATCH($A123,Estoque!$A$2:$A$49,0)),"não encontrado")</f>
        <v>Fluoxetina cloridrato</v>
      </c>
      <c r="D123" s="4" t="str">
        <f aca="false">IFERROR(INDEX(Estoque!$I$2:$I$49,MATCH($A123,Estoque!$A$2:$A$49,0)),"não encontrado")</f>
        <v>DISPONIVEL</v>
      </c>
    </row>
    <row r="124" customFormat="false" ht="15" hidden="false" customHeight="false" outlineLevel="0" collapsed="false">
      <c r="A124" s="4" t="s">
        <v>172</v>
      </c>
      <c r="B124" s="4" t="s">
        <v>311</v>
      </c>
      <c r="C124" s="4" t="str">
        <f aca="false">IFERROR(INDEX(Estoque!$B$2:$B$49,MATCH($A124,Estoque!$A$2:$A$49,0)),"não encontrado")</f>
        <v>Fluoxetina cloridrato</v>
      </c>
      <c r="D124" s="4" t="str">
        <f aca="false">IFERROR(INDEX(Estoque!$I$2:$I$49,MATCH($A124,Estoque!$A$2:$A$49,0)),"não encontrado")</f>
        <v>DISPONIVEL</v>
      </c>
    </row>
    <row r="125" customFormat="false" ht="15" hidden="false" customHeight="false" outlineLevel="0" collapsed="false">
      <c r="A125" s="4" t="s">
        <v>174</v>
      </c>
      <c r="B125" s="4" t="s">
        <v>312</v>
      </c>
      <c r="C125" s="4" t="str">
        <f aca="false">IFERROR(INDEX(Estoque!$B$2:$B$49,MATCH($A125,Estoque!$A$2:$A$49,0)),"não encontrado")</f>
        <v>Carbamazepina</v>
      </c>
      <c r="D125" s="4" t="str">
        <f aca="false">IFERROR(INDEX(Estoque!$I$2:$I$49,MATCH($A125,Estoque!$A$2:$A$49,0)),"não encontrado")</f>
        <v>DISPONIVEL</v>
      </c>
    </row>
    <row r="126" customFormat="false" ht="15" hidden="false" customHeight="false" outlineLevel="0" collapsed="false">
      <c r="A126" s="4" t="s">
        <v>174</v>
      </c>
      <c r="B126" s="4" t="s">
        <v>313</v>
      </c>
      <c r="C126" s="4" t="str">
        <f aca="false">IFERROR(INDEX(Estoque!$B$2:$B$49,MATCH($A126,Estoque!$A$2:$A$49,0)),"não encontrado")</f>
        <v>Carbamazepina</v>
      </c>
      <c r="D126" s="4" t="str">
        <f aca="false">IFERROR(INDEX(Estoque!$I$2:$I$49,MATCH($A126,Estoque!$A$2:$A$49,0)),"não encontrado")</f>
        <v>DISPONIVEL</v>
      </c>
    </row>
    <row r="127" customFormat="false" ht="15" hidden="false" customHeight="false" outlineLevel="0" collapsed="false">
      <c r="A127" s="4" t="s">
        <v>177</v>
      </c>
      <c r="B127" s="4" t="s">
        <v>314</v>
      </c>
      <c r="C127" s="4" t="str">
        <f aca="false">IFERROR(INDEX(Estoque!$B$2:$B$49,MATCH($A127,Estoque!$A$2:$A$49,0)),"não encontrado")</f>
        <v>Clonazepam</v>
      </c>
      <c r="D127" s="4" t="str">
        <f aca="false">IFERROR(INDEX(Estoque!$I$2:$I$49,MATCH($A127,Estoque!$A$2:$A$49,0)),"não encontrado")</f>
        <v>ESTOQUE BAIXO</v>
      </c>
    </row>
    <row r="128" customFormat="false" ht="15" hidden="false" customHeight="false" outlineLevel="0" collapsed="false">
      <c r="A128" s="4" t="s">
        <v>177</v>
      </c>
      <c r="B128" s="4" t="s">
        <v>315</v>
      </c>
      <c r="C128" s="4" t="str">
        <f aca="false">IFERROR(INDEX(Estoque!$B$2:$B$49,MATCH($A128,Estoque!$A$2:$A$49,0)),"não encontrado")</f>
        <v>Clonazepam</v>
      </c>
      <c r="D128" s="4" t="str">
        <f aca="false">IFERROR(INDEX(Estoque!$I$2:$I$49,MATCH($A128,Estoque!$A$2:$A$49,0)),"não encontrado")</f>
        <v>ESTOQUE BAIXO</v>
      </c>
    </row>
    <row r="129" customFormat="false" ht="15" hidden="false" customHeight="false" outlineLevel="0" collapsed="false">
      <c r="A129" s="4" t="s">
        <v>181</v>
      </c>
      <c r="B129" s="4" t="s">
        <v>316</v>
      </c>
      <c r="C129" s="4" t="str">
        <f aca="false">IFERROR(INDEX(Estoque!$B$2:$B$49,MATCH($A129,Estoque!$A$2:$A$49,0)),"não encontrado")</f>
        <v>Diazepam</v>
      </c>
      <c r="D129" s="4" t="str">
        <f aca="false">IFERROR(INDEX(Estoque!$I$2:$I$49,MATCH($A129,Estoque!$A$2:$A$49,0)),"não encontrado")</f>
        <v>EM FALTA</v>
      </c>
    </row>
    <row r="130" customFormat="false" ht="15" hidden="false" customHeight="false" outlineLevel="0" collapsed="false">
      <c r="A130" s="4" t="s">
        <v>181</v>
      </c>
      <c r="B130" s="4" t="s">
        <v>317</v>
      </c>
      <c r="C130" s="4" t="str">
        <f aca="false">IFERROR(INDEX(Estoque!$B$2:$B$49,MATCH($A130,Estoque!$A$2:$A$49,0)),"não encontrado")</f>
        <v>Diazepam</v>
      </c>
      <c r="D130" s="4" t="str">
        <f aca="false">IFERROR(INDEX(Estoque!$I$2:$I$49,MATCH($A130,Estoque!$A$2:$A$49,0)),"não encontrado")</f>
        <v>EM FALTA</v>
      </c>
    </row>
    <row r="131" customFormat="false" ht="15" hidden="false" customHeight="false" outlineLevel="0" collapsed="false">
      <c r="A131" s="4" t="s">
        <v>183</v>
      </c>
      <c r="B131" s="4" t="s">
        <v>318</v>
      </c>
      <c r="C131" s="4" t="str">
        <f aca="false">IFERROR(INDEX(Estoque!$B$2:$B$49,MATCH($A131,Estoque!$A$2:$A$49,0)),"não encontrado")</f>
        <v>Fenitoína sódica</v>
      </c>
      <c r="D131" s="4" t="str">
        <f aca="false">IFERROR(INDEX(Estoque!$I$2:$I$49,MATCH($A131,Estoque!$A$2:$A$49,0)),"não encontrado")</f>
        <v>DISPONIVEL</v>
      </c>
    </row>
    <row r="132" customFormat="false" ht="15" hidden="false" customHeight="false" outlineLevel="0" collapsed="false">
      <c r="A132" s="4" t="s">
        <v>183</v>
      </c>
      <c r="B132" s="4" t="s">
        <v>319</v>
      </c>
      <c r="C132" s="4" t="str">
        <f aca="false">IFERROR(INDEX(Estoque!$B$2:$B$49,MATCH($A132,Estoque!$A$2:$A$49,0)),"não encontrado")</f>
        <v>Fenitoína sódica</v>
      </c>
      <c r="D132" s="4" t="str">
        <f aca="false">IFERROR(INDEX(Estoque!$I$2:$I$49,MATCH($A132,Estoque!$A$2:$A$49,0)),"não encontrado")</f>
        <v>DISPONIVEL</v>
      </c>
    </row>
    <row r="134" customFormat="false" ht="15" hidden="false" customHeight="false" outlineLevel="0" collapsed="false">
      <c r="A134" s="10" t="s">
        <v>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36"/>
    <col collapsed="false" customWidth="true" hidden="false" outlineLevel="0" max="4" min="4" style="0" width="30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6" t="s">
        <v>24</v>
      </c>
      <c r="B1" s="6" t="s">
        <v>321</v>
      </c>
      <c r="C1" s="6" t="s">
        <v>322</v>
      </c>
      <c r="D1" s="6" t="s">
        <v>323</v>
      </c>
      <c r="E1" s="6" t="s">
        <v>324</v>
      </c>
    </row>
    <row r="2" customFormat="false" ht="15" hidden="false" customHeight="false" outlineLevel="0" collapsed="false">
      <c r="A2" s="4" t="s">
        <v>325</v>
      </c>
      <c r="B2" s="4" t="s">
        <v>43</v>
      </c>
      <c r="C2" s="4" t="s">
        <v>326</v>
      </c>
      <c r="D2" s="4" t="s">
        <v>327</v>
      </c>
      <c r="E2" s="4" t="s">
        <v>328</v>
      </c>
    </row>
    <row r="3" customFormat="false" ht="15" hidden="false" customHeight="false" outlineLevel="0" collapsed="false">
      <c r="A3" s="4" t="s">
        <v>329</v>
      </c>
      <c r="B3" s="4" t="s">
        <v>330</v>
      </c>
      <c r="C3" s="4" t="s">
        <v>331</v>
      </c>
      <c r="D3" s="4" t="s">
        <v>332</v>
      </c>
      <c r="E3" s="4" t="s">
        <v>333</v>
      </c>
    </row>
    <row r="4" customFormat="false" ht="15" hidden="false" customHeight="false" outlineLevel="0" collapsed="false">
      <c r="A4" s="4" t="s">
        <v>334</v>
      </c>
      <c r="B4" s="4" t="s">
        <v>335</v>
      </c>
      <c r="C4" s="4" t="s">
        <v>336</v>
      </c>
      <c r="D4" s="4" t="s">
        <v>337</v>
      </c>
      <c r="E4" s="4" t="s">
        <v>338</v>
      </c>
    </row>
    <row r="6" customFormat="false" ht="15" hidden="false" customHeight="false" outlineLevel="0" collapsed="false">
      <c r="A6" s="10" t="s">
        <v>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" t="s">
        <v>340</v>
      </c>
    </row>
    <row r="3" customFormat="false" ht="15" hidden="false" customHeight="false" outlineLevel="0" collapsed="false">
      <c r="A3" s="4" t="s">
        <v>341</v>
      </c>
      <c r="B3" s="11" t="n">
        <f aca="false">COUNTA(Estoque!$A$2:$A$49)</f>
        <v>48</v>
      </c>
    </row>
    <row r="4" customFormat="false" ht="15" hidden="false" customHeight="false" outlineLevel="0" collapsed="false">
      <c r="A4" s="4" t="s">
        <v>342</v>
      </c>
      <c r="B4" s="11" t="n">
        <f aca="false">COUNTIF(Estoque!$I$2:$I$49,"DISPONIVEL")</f>
        <v>38</v>
      </c>
    </row>
    <row r="5" customFormat="false" ht="15" hidden="false" customHeight="false" outlineLevel="0" collapsed="false">
      <c r="A5" s="4" t="s">
        <v>343</v>
      </c>
      <c r="B5" s="11" t="n">
        <f aca="false">COUNTIF(Estoque!$I$2:$I$49,"ESTOQUE BAIXO")</f>
        <v>5</v>
      </c>
    </row>
    <row r="6" customFormat="false" ht="15" hidden="false" customHeight="false" outlineLevel="0" collapsed="false">
      <c r="A6" s="4" t="s">
        <v>344</v>
      </c>
      <c r="B6" s="11" t="n">
        <f aca="false">COUNTIF(Estoque!$I$2:$I$49,"EM FALTA")</f>
        <v>5</v>
      </c>
    </row>
    <row r="7" customFormat="false" ht="15" hidden="false" customHeight="false" outlineLevel="0" collapsed="false">
      <c r="A7" s="4" t="s">
        <v>345</v>
      </c>
      <c r="B7" s="12" t="n">
        <f aca="false">IFERROR(COUNTIF(Estoque!$I$2:$I$49,"EM FALTA")/COUNTA(Estoque!$A$2:$A$49),0)</f>
        <v>0.104166666666667</v>
      </c>
    </row>
    <row r="8" customFormat="false" ht="15" hidden="false" customHeight="false" outlineLevel="0" collapsed="false">
      <c r="A8" s="4" t="s">
        <v>346</v>
      </c>
      <c r="B8" s="11" t="n">
        <f aca="false">COUNTA(Sinonimos!$B$2:$B$132)</f>
        <v>131</v>
      </c>
    </row>
    <row r="9" customFormat="false" ht="15" hidden="false" customHeight="false" outlineLevel="0" collapsed="false">
      <c r="A9" s="4" t="s">
        <v>347</v>
      </c>
      <c r="B9" s="13" t="n">
        <f aca="false">IFERROR(COUNTA(Sinonimos!$B$2:$B$132)/COUNTA(Estoque!$A$2:$A$49),0)</f>
        <v>2.72916666666667</v>
      </c>
    </row>
    <row r="12" customFormat="false" ht="15" hidden="false" customHeight="false" outlineLevel="0" collapsed="false">
      <c r="A12" s="10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2026-08-31T01:59:08Z</dcterms:created>
  <dc:creator>openpyxl</dc:creator>
  <dc:description/>
  <dc:language>en-US</dc:language>
  <cp:lastModifiedBy/>
  <dcterms:modified xsi:type="dcterms:W3CDTF">2026-08-31T01:59:08Z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